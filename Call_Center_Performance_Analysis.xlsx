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Vageesha bharti\Downloads\"/>
    </mc:Choice>
  </mc:AlternateContent>
  <xr:revisionPtr revIDLastSave="0" documentId="13_ncr:1_{5C597F23-3B08-4545-AB50-69CD4272A8DE}" xr6:coauthVersionLast="47" xr6:coauthVersionMax="47" xr10:uidLastSave="{00000000-0000-0000-0000-000000000000}"/>
  <bookViews>
    <workbookView xWindow="-108" yWindow="-108" windowWidth="23256" windowHeight="12456" activeTab="3" xr2:uid="{00000000-000D-0000-FFFF-FFFF00000000}"/>
  </bookViews>
  <sheets>
    <sheet name="RawData" sheetId="4" r:id="rId1"/>
    <sheet name="UpdatedData" sheetId="1" r:id="rId2"/>
    <sheet name="Pivot reports" sheetId="2" r:id="rId3"/>
    <sheet name="Dashboard" sheetId="3" r:id="rId4"/>
  </sheets>
  <definedNames>
    <definedName name="Slicer_Manager1">#N/A</definedName>
    <definedName name="Slicer_Shift1">#N/A</definedName>
    <definedName name="Slicer_Team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3" l="1"/>
  <c r="N5" i="3"/>
  <c r="K5" i="3"/>
  <c r="H5" i="3"/>
  <c r="B5" i="3"/>
  <c r="H16" i="2"/>
  <c r="H20" i="2"/>
  <c r="H19" i="2"/>
  <c r="H18" i="2"/>
  <c r="H17" i="2"/>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alcChain>
</file>

<file path=xl/sharedStrings.xml><?xml version="1.0" encoding="utf-8"?>
<sst xmlns="http://schemas.openxmlformats.org/spreadsheetml/2006/main" count="1898" uniqueCount="273">
  <si>
    <t>Emp ID</t>
  </si>
  <si>
    <t>Employee Name</t>
  </si>
  <si>
    <t>Team</t>
  </si>
  <si>
    <t>Manager</t>
  </si>
  <si>
    <t>Location</t>
  </si>
  <si>
    <t>Salary</t>
  </si>
  <si>
    <t>Target Calls</t>
  </si>
  <si>
    <t>Actual Calls</t>
  </si>
  <si>
    <t>Sales Amount</t>
  </si>
  <si>
    <t>Collection Amount</t>
  </si>
  <si>
    <t>Login Hours</t>
  </si>
  <si>
    <t>Attendance Status</t>
  </si>
  <si>
    <t>Shift</t>
  </si>
  <si>
    <t>Lead Source</t>
  </si>
  <si>
    <t>Efficiency Score</t>
  </si>
  <si>
    <t>Efficiency Status</t>
  </si>
  <si>
    <t>E1001</t>
  </si>
  <si>
    <t>Aaron Choi</t>
  </si>
  <si>
    <t>Collection</t>
  </si>
  <si>
    <t>Sonal</t>
  </si>
  <si>
    <t>Chennai</t>
  </si>
  <si>
    <t>Present</t>
  </si>
  <si>
    <t>Evening</t>
  </si>
  <si>
    <t>Referral</t>
  </si>
  <si>
    <t>Poor</t>
  </si>
  <si>
    <t>E1002</t>
  </si>
  <si>
    <t>Bruce Nichols</t>
  </si>
  <si>
    <t>Support</t>
  </si>
  <si>
    <t>Rajesh</t>
  </si>
  <si>
    <t>Mumbai</t>
  </si>
  <si>
    <t>Walk-in</t>
  </si>
  <si>
    <t>E1003</t>
  </si>
  <si>
    <t>Edward Turner</t>
  </si>
  <si>
    <t>Ritika</t>
  </si>
  <si>
    <t>General</t>
  </si>
  <si>
    <t>Average</t>
  </si>
  <si>
    <t>E1004</t>
  </si>
  <si>
    <t>Tonya Blair</t>
  </si>
  <si>
    <t>Bengaluru</t>
  </si>
  <si>
    <t>E1005</t>
  </si>
  <si>
    <t>Lisa Bonilla</t>
  </si>
  <si>
    <t>Morning</t>
  </si>
  <si>
    <t>E1006</t>
  </si>
  <si>
    <t>Rodney Lee</t>
  </si>
  <si>
    <t>Sales</t>
  </si>
  <si>
    <t>Amit</t>
  </si>
  <si>
    <t>Absent</t>
  </si>
  <si>
    <t>Web</t>
  </si>
  <si>
    <t>E1007</t>
  </si>
  <si>
    <t>David Schultz</t>
  </si>
  <si>
    <t>Partner</t>
  </si>
  <si>
    <t>Good</t>
  </si>
  <si>
    <t>E1008</t>
  </si>
  <si>
    <t>Wanda Alvarado</t>
  </si>
  <si>
    <t>Karan</t>
  </si>
  <si>
    <t>Hyderabad</t>
  </si>
  <si>
    <t>E1009</t>
  </si>
  <si>
    <t>Thomas Stewart</t>
  </si>
  <si>
    <t>Social Media</t>
  </si>
  <si>
    <t>E1010</t>
  </si>
  <si>
    <t>Mark Hawkins</t>
  </si>
  <si>
    <t>Delhi</t>
  </si>
  <si>
    <t>Cold Call</t>
  </si>
  <si>
    <t>E1011</t>
  </si>
  <si>
    <t>Tyler Marsh</t>
  </si>
  <si>
    <t>Retention</t>
  </si>
  <si>
    <t>E1012</t>
  </si>
  <si>
    <t>Jessica Carpenter</t>
  </si>
  <si>
    <t>E1013</t>
  </si>
  <si>
    <t>Patrick Bolton</t>
  </si>
  <si>
    <t>Pune</t>
  </si>
  <si>
    <t>E1014</t>
  </si>
  <si>
    <t>Aaron Adkins</t>
  </si>
  <si>
    <t>Night</t>
  </si>
  <si>
    <t>E1015</t>
  </si>
  <si>
    <t>Christine Bowman</t>
  </si>
  <si>
    <t>E1016</t>
  </si>
  <si>
    <t>Shawn White</t>
  </si>
  <si>
    <t>Excellent</t>
  </si>
  <si>
    <t>E1017</t>
  </si>
  <si>
    <t>Michael Morrison</t>
  </si>
  <si>
    <t>E1018</t>
  </si>
  <si>
    <t>Angela Long</t>
  </si>
  <si>
    <t>E1019</t>
  </si>
  <si>
    <t>Deborah Baker</t>
  </si>
  <si>
    <t>E1020</t>
  </si>
  <si>
    <t>Charles Lee</t>
  </si>
  <si>
    <t>E1021</t>
  </si>
  <si>
    <t>Rhonda Warren</t>
  </si>
  <si>
    <t>E1022</t>
  </si>
  <si>
    <t>Kirk Hernandez</t>
  </si>
  <si>
    <t>E1023</t>
  </si>
  <si>
    <t>Joseph Thomas</t>
  </si>
  <si>
    <t>E1024</t>
  </si>
  <si>
    <t>Erik Chambers</t>
  </si>
  <si>
    <t>E1025</t>
  </si>
  <si>
    <t>Thomas English</t>
  </si>
  <si>
    <t>E1026</t>
  </si>
  <si>
    <t>Jeffrey Ruiz</t>
  </si>
  <si>
    <t>E1027</t>
  </si>
  <si>
    <t>Kristen Williams</t>
  </si>
  <si>
    <t>E1028</t>
  </si>
  <si>
    <t>Jessica Ballard</t>
  </si>
  <si>
    <t>E1029</t>
  </si>
  <si>
    <t>Ms. Robin Ross</t>
  </si>
  <si>
    <t>E1030</t>
  </si>
  <si>
    <t>Anna Ray</t>
  </si>
  <si>
    <t>E1031</t>
  </si>
  <si>
    <t>Ryan Taylor</t>
  </si>
  <si>
    <t>E1032</t>
  </si>
  <si>
    <t>Michael Ford</t>
  </si>
  <si>
    <t>E1033</t>
  </si>
  <si>
    <t>Kelli Bean</t>
  </si>
  <si>
    <t>E1034</t>
  </si>
  <si>
    <t>Jaclyn Mooney</t>
  </si>
  <si>
    <t>E1035</t>
  </si>
  <si>
    <t>Jordan Curtis</t>
  </si>
  <si>
    <t>E1036</t>
  </si>
  <si>
    <t>Zachary Cobb</t>
  </si>
  <si>
    <t>E1037</t>
  </si>
  <si>
    <t>Ryan Mcdaniel</t>
  </si>
  <si>
    <t>E1038</t>
  </si>
  <si>
    <t>Mrs. Christine Lopez</t>
  </si>
  <si>
    <t>E1039</t>
  </si>
  <si>
    <t>Candace Edwards</t>
  </si>
  <si>
    <t>E1040</t>
  </si>
  <si>
    <t>Brandon Wilkins</t>
  </si>
  <si>
    <t>E1041</t>
  </si>
  <si>
    <t>Douglas Gallegos</t>
  </si>
  <si>
    <t>E1042</t>
  </si>
  <si>
    <t>John Grant</t>
  </si>
  <si>
    <t>E1043</t>
  </si>
  <si>
    <t>April Anderson</t>
  </si>
  <si>
    <t>E1044</t>
  </si>
  <si>
    <t>Sara Norton</t>
  </si>
  <si>
    <t>E1045</t>
  </si>
  <si>
    <t>Robert Bond</t>
  </si>
  <si>
    <t>E1046</t>
  </si>
  <si>
    <t>Brian Hall</t>
  </si>
  <si>
    <t>E1047</t>
  </si>
  <si>
    <t>Karen Graham</t>
  </si>
  <si>
    <t>E1048</t>
  </si>
  <si>
    <t>Kimberly Jones</t>
  </si>
  <si>
    <t>E1049</t>
  </si>
  <si>
    <t>Christopher Brown</t>
  </si>
  <si>
    <t>E1050</t>
  </si>
  <si>
    <t>Brett Martin</t>
  </si>
  <si>
    <t>E1051</t>
  </si>
  <si>
    <t>Sara Green</t>
  </si>
  <si>
    <t>E1052</t>
  </si>
  <si>
    <t>Edgar Hunter</t>
  </si>
  <si>
    <t>E1053</t>
  </si>
  <si>
    <t>David Mcconnell</t>
  </si>
  <si>
    <t>E1054</t>
  </si>
  <si>
    <t>Justin Holland</t>
  </si>
  <si>
    <t>E1055</t>
  </si>
  <si>
    <t>Anthony Harvey</t>
  </si>
  <si>
    <t>E1056</t>
  </si>
  <si>
    <t>Cameron Cox</t>
  </si>
  <si>
    <t>E1057</t>
  </si>
  <si>
    <t>Jonathan Ramos</t>
  </si>
  <si>
    <t>E1058</t>
  </si>
  <si>
    <t>Michelle Cabrera</t>
  </si>
  <si>
    <t>E1059</t>
  </si>
  <si>
    <t>Jackson Heath</t>
  </si>
  <si>
    <t>E1060</t>
  </si>
  <si>
    <t>Sandra Park</t>
  </si>
  <si>
    <t>E1061</t>
  </si>
  <si>
    <t>Ann Bryant</t>
  </si>
  <si>
    <t>E1062</t>
  </si>
  <si>
    <t>Jacqueline Parker</t>
  </si>
  <si>
    <t>E1063</t>
  </si>
  <si>
    <t>Brian Arias</t>
  </si>
  <si>
    <t>E1064</t>
  </si>
  <si>
    <t>Melissa Diaz</t>
  </si>
  <si>
    <t>E1065</t>
  </si>
  <si>
    <t>Kelly Wilson</t>
  </si>
  <si>
    <t>E1066</t>
  </si>
  <si>
    <t>Alice Cole</t>
  </si>
  <si>
    <t>E1067</t>
  </si>
  <si>
    <t>Erica Manning</t>
  </si>
  <si>
    <t>E1068</t>
  </si>
  <si>
    <t>Anthony Mccarthy</t>
  </si>
  <si>
    <t>E1069</t>
  </si>
  <si>
    <t>Caitlin Mata</t>
  </si>
  <si>
    <t>E1070</t>
  </si>
  <si>
    <t>Roberta Vazquez</t>
  </si>
  <si>
    <t>E1071</t>
  </si>
  <si>
    <t>Christopher Warren</t>
  </si>
  <si>
    <t>E1072</t>
  </si>
  <si>
    <t>Tommy Kim</t>
  </si>
  <si>
    <t>E1073</t>
  </si>
  <si>
    <t>Samantha Sanchez</t>
  </si>
  <si>
    <t>E1074</t>
  </si>
  <si>
    <t>David Smith</t>
  </si>
  <si>
    <t>E1075</t>
  </si>
  <si>
    <t>Ryan White</t>
  </si>
  <si>
    <t>E1076</t>
  </si>
  <si>
    <t>Tammy Perry</t>
  </si>
  <si>
    <t>E1077</t>
  </si>
  <si>
    <t>Kimberly Miller</t>
  </si>
  <si>
    <t>E1078</t>
  </si>
  <si>
    <t>James Padilla</t>
  </si>
  <si>
    <t>E1079</t>
  </si>
  <si>
    <t>Michael Turner</t>
  </si>
  <si>
    <t>E1080</t>
  </si>
  <si>
    <t>Kelsey Lee</t>
  </si>
  <si>
    <t>E1081</t>
  </si>
  <si>
    <t>Jeffery King</t>
  </si>
  <si>
    <t>E1082</t>
  </si>
  <si>
    <t>Robert Roberts</t>
  </si>
  <si>
    <t>E1083</t>
  </si>
  <si>
    <t>Joshua Sosa</t>
  </si>
  <si>
    <t>E1084</t>
  </si>
  <si>
    <t>Michael Nelson</t>
  </si>
  <si>
    <t>E1085</t>
  </si>
  <si>
    <t>Richard Garcia</t>
  </si>
  <si>
    <t>E1086</t>
  </si>
  <si>
    <t>Matthew Davis</t>
  </si>
  <si>
    <t>E1087</t>
  </si>
  <si>
    <t>Nicole Davis</t>
  </si>
  <si>
    <t>E1088</t>
  </si>
  <si>
    <t>Kimberly Rodriguez</t>
  </si>
  <si>
    <t>E1089</t>
  </si>
  <si>
    <t>Gregory Brown</t>
  </si>
  <si>
    <t>E1090</t>
  </si>
  <si>
    <t>Allen Bennett</t>
  </si>
  <si>
    <t>E1091</t>
  </si>
  <si>
    <t>Jacob Thomas</t>
  </si>
  <si>
    <t>E1092</t>
  </si>
  <si>
    <t>Craig Jones</t>
  </si>
  <si>
    <t>E1093</t>
  </si>
  <si>
    <t>Carrie Reyes</t>
  </si>
  <si>
    <t>E1094</t>
  </si>
  <si>
    <t>Regina Cook</t>
  </si>
  <si>
    <t>E1095</t>
  </si>
  <si>
    <t>Roger Martinez</t>
  </si>
  <si>
    <t>E1096</t>
  </si>
  <si>
    <t>Tony Jones</t>
  </si>
  <si>
    <t>E1097</t>
  </si>
  <si>
    <t>Julie Moran</t>
  </si>
  <si>
    <t>E1098</t>
  </si>
  <si>
    <t>Sherry Shannon</t>
  </si>
  <si>
    <t>E1099</t>
  </si>
  <si>
    <t>Mary Cordova</t>
  </si>
  <si>
    <t>E1100</t>
  </si>
  <si>
    <t>Eric Rodriguez</t>
  </si>
  <si>
    <t>Calls Target Status</t>
  </si>
  <si>
    <t>Grand Total</t>
  </si>
  <si>
    <t>Sum of Sales Amount</t>
  </si>
  <si>
    <t>Sum of Collection Amount</t>
  </si>
  <si>
    <t>Team-wise Sales &amp; Collection</t>
  </si>
  <si>
    <t>Manager-wise Performance</t>
  </si>
  <si>
    <t>Manager Name</t>
  </si>
  <si>
    <t>Shift-wise Avg Calls and Avg Sales</t>
  </si>
  <si>
    <t>Average of Sales Amount</t>
  </si>
  <si>
    <t>Average of Actual Calls</t>
  </si>
  <si>
    <t>Attendance by Team</t>
  </si>
  <si>
    <t>Absent Number</t>
  </si>
  <si>
    <t>Absent Employees</t>
  </si>
  <si>
    <t>Absenteeism %</t>
  </si>
  <si>
    <t>Count of Employee Name</t>
  </si>
  <si>
    <t>Efficiency Status Count</t>
  </si>
  <si>
    <t xml:space="preserve">Efficiency </t>
  </si>
  <si>
    <t>Lead Source Performance</t>
  </si>
  <si>
    <t>Average of Collection Amount</t>
  </si>
  <si>
    <t>TOTAL EMPLOYEES</t>
  </si>
  <si>
    <t>TOTAL SALES</t>
  </si>
  <si>
    <t>TOTAL COLLECTION</t>
  </si>
  <si>
    <t>AVG ACTUAL CALLS</t>
  </si>
  <si>
    <t>ATTENDANCE %</t>
  </si>
  <si>
    <t>CALL CENTER PERFORMANCE DASHBOARD</t>
  </si>
  <si>
    <t>Rishabh Raj - Aspiring Data Analyst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</si>
</sst>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2" formatCode="_ &quot;₹&quot;\ * #,##0_ ;_ &quot;₹&quot;\ * \-#,##0_ ;_ &quot;₹&quot;\ * &quot;-&quot;_ ;_ @_ "/>
  </numFmts>
  <fonts count="9" x14ac:knownFonts="1">
    <font>
      <sz val="11"/>
      <color theme="1"/>
      <name val="Calibri"/>
      <family val="2"/>
      <scheme val="minor"/>
    </font>
    <font>
      <sz val="11"/>
      <color theme="1"/>
      <name val="Calibri"/>
      <family val="2"/>
      <scheme val="minor"/>
    </font>
    <font>
      <b/>
      <sz val="11"/>
      <color theme="1"/>
      <name val="Calibri"/>
      <family val="2"/>
      <scheme val="minor"/>
    </font>
    <font>
      <b/>
      <sz val="11"/>
      <name val="Calibri"/>
      <family val="2"/>
      <scheme val="minor"/>
    </font>
    <font>
      <sz val="20"/>
      <color theme="1"/>
      <name val="Calibri"/>
      <family val="2"/>
      <scheme val="minor"/>
    </font>
    <font>
      <b/>
      <sz val="16"/>
      <name val="Calibri"/>
      <family val="2"/>
      <scheme val="minor"/>
    </font>
    <font>
      <b/>
      <sz val="24"/>
      <name val="Calibri"/>
      <family val="2"/>
      <scheme val="minor"/>
    </font>
    <font>
      <sz val="24"/>
      <color theme="1"/>
      <name val="Calibri"/>
      <family val="2"/>
      <scheme val="minor"/>
    </font>
    <font>
      <sz val="26"/>
      <color theme="1"/>
      <name val="Berlin Sans FB"/>
      <family val="2"/>
    </font>
  </fonts>
  <fills count="11">
    <fill>
      <patternFill patternType="none"/>
    </fill>
    <fill>
      <patternFill patternType="gray125"/>
    </fill>
    <fill>
      <patternFill patternType="solid">
        <fgColor rgb="FFFFFF00"/>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3" tint="0.39997558519241921"/>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6" tint="0.39997558519241921"/>
        <bgColor indexed="64"/>
      </patternFill>
    </fill>
    <fill>
      <patternFill patternType="solid">
        <fgColor rgb="FFEAEAEA"/>
        <bgColor indexed="64"/>
      </patternFill>
    </fill>
  </fills>
  <borders count="10">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right/>
      <top/>
      <bottom style="thin">
        <color theme="4" tint="0.39997558519241921"/>
      </bottom>
      <diagonal/>
    </border>
    <border>
      <left/>
      <right/>
      <top style="thin">
        <color theme="4" tint="0.39997558519241921"/>
      </top>
      <bottom/>
      <diagonal/>
    </border>
    <border>
      <left style="medium">
        <color indexed="64"/>
      </left>
      <right/>
      <top/>
      <bottom/>
      <diagonal/>
    </border>
  </borders>
  <cellStyleXfs count="2">
    <xf numFmtId="0" fontId="0" fillId="0" borderId="0"/>
    <xf numFmtId="9" fontId="1" fillId="0" borderId="0" applyFont="0" applyFill="0" applyBorder="0" applyAlignment="0" applyProtection="0"/>
  </cellStyleXfs>
  <cellXfs count="38">
    <xf numFmtId="0" fontId="0" fillId="0" borderId="0" xfId="0"/>
    <xf numFmtId="0" fontId="0" fillId="2" borderId="0" xfId="0" applyFill="1"/>
    <xf numFmtId="0" fontId="0" fillId="3" borderId="3" xfId="0" applyFill="1" applyBorder="1"/>
    <xf numFmtId="0" fontId="0" fillId="3" borderId="4" xfId="0" applyFill="1" applyBorder="1"/>
    <xf numFmtId="0" fontId="0" fillId="4" borderId="3" xfId="0" applyFill="1" applyBorder="1"/>
    <xf numFmtId="0" fontId="0" fillId="4" borderId="4" xfId="0" applyFill="1" applyBorder="1"/>
    <xf numFmtId="0" fontId="3" fillId="2" borderId="0" xfId="0" applyFont="1" applyFill="1"/>
    <xf numFmtId="0" fontId="0" fillId="4" borderId="5" xfId="0" applyFill="1" applyBorder="1"/>
    <xf numFmtId="0" fontId="0" fillId="4" borderId="6" xfId="0" applyFill="1" applyBorder="1"/>
    <xf numFmtId="0" fontId="3" fillId="2" borderId="1" xfId="0" applyFont="1" applyFill="1" applyBorder="1"/>
    <xf numFmtId="0" fontId="3" fillId="2" borderId="2" xfId="0" applyFont="1" applyFill="1" applyBorder="1"/>
    <xf numFmtId="0" fontId="0" fillId="0" borderId="0" xfId="0" pivotButton="1"/>
    <xf numFmtId="0" fontId="0" fillId="0" borderId="0" xfId="0" applyAlignment="1">
      <alignment horizontal="left"/>
    </xf>
    <xf numFmtId="0" fontId="2" fillId="4" borderId="7" xfId="0" applyFont="1" applyFill="1" applyBorder="1"/>
    <xf numFmtId="0" fontId="4" fillId="2" borderId="0" xfId="0" applyFont="1" applyFill="1"/>
    <xf numFmtId="2" fontId="0" fillId="0" borderId="0" xfId="0" applyNumberFormat="1"/>
    <xf numFmtId="9" fontId="0" fillId="0" borderId="0" xfId="1" applyFont="1"/>
    <xf numFmtId="9" fontId="2" fillId="4" borderId="8" xfId="1" applyFont="1" applyFill="1" applyBorder="1"/>
    <xf numFmtId="0" fontId="5" fillId="5" borderId="0" xfId="0" applyFont="1" applyFill="1" applyAlignment="1">
      <alignment horizontal="center" vertical="center" wrapText="1"/>
    </xf>
    <xf numFmtId="0" fontId="5" fillId="6" borderId="0" xfId="0" applyFont="1" applyFill="1" applyAlignment="1">
      <alignment horizontal="center" vertical="center" wrapText="1"/>
    </xf>
    <xf numFmtId="0" fontId="5" fillId="7" borderId="0" xfId="0" applyFont="1" applyFill="1" applyAlignment="1">
      <alignment horizontal="center" vertical="center" wrapText="1"/>
    </xf>
    <xf numFmtId="0" fontId="5" fillId="9" borderId="0" xfId="0" applyFont="1" applyFill="1" applyAlignment="1">
      <alignment horizontal="center" vertical="center" wrapText="1"/>
    </xf>
    <xf numFmtId="0" fontId="5" fillId="8" borderId="0" xfId="0" applyFont="1" applyFill="1" applyAlignment="1">
      <alignment horizontal="center" vertical="center" wrapText="1"/>
    </xf>
    <xf numFmtId="0" fontId="6" fillId="5" borderId="0" xfId="0" applyFont="1" applyFill="1" applyAlignment="1">
      <alignment horizontal="center" vertical="center" wrapText="1"/>
    </xf>
    <xf numFmtId="9" fontId="6" fillId="8" borderId="0" xfId="1" applyFont="1" applyFill="1" applyBorder="1" applyAlignment="1">
      <alignment horizontal="center" vertical="center" wrapText="1"/>
    </xf>
    <xf numFmtId="0" fontId="0" fillId="0" borderId="0" xfId="0" applyNumberFormat="1"/>
    <xf numFmtId="0" fontId="8" fillId="10" borderId="0" xfId="0" applyFont="1" applyFill="1" applyBorder="1" applyAlignment="1">
      <alignment horizontal="center" vertical="center"/>
    </xf>
    <xf numFmtId="0" fontId="7" fillId="10" borderId="0" xfId="0" applyFont="1" applyFill="1" applyBorder="1" applyAlignment="1">
      <alignment horizontal="center" vertical="center"/>
    </xf>
    <xf numFmtId="0" fontId="0" fillId="10" borderId="0" xfId="0" applyFill="1" applyBorder="1" applyAlignment="1">
      <alignment horizontal="center"/>
    </xf>
    <xf numFmtId="0" fontId="0" fillId="10" borderId="0" xfId="0" applyFill="1" applyBorder="1"/>
    <xf numFmtId="0" fontId="0" fillId="10" borderId="0" xfId="0" applyFill="1"/>
    <xf numFmtId="0" fontId="0" fillId="10" borderId="9" xfId="0" applyFill="1" applyBorder="1" applyAlignment="1">
      <alignment horizontal="center"/>
    </xf>
    <xf numFmtId="3" fontId="0" fillId="10" borderId="0" xfId="0" applyNumberFormat="1" applyFill="1"/>
    <xf numFmtId="42" fontId="6" fillId="6" borderId="0" xfId="0" applyNumberFormat="1" applyFont="1" applyFill="1" applyAlignment="1">
      <alignment horizontal="center" vertical="center" wrapText="1"/>
    </xf>
    <xf numFmtId="42" fontId="6" fillId="7" borderId="0" xfId="0" applyNumberFormat="1" applyFont="1" applyFill="1" applyAlignment="1">
      <alignment horizontal="center" vertical="center" wrapText="1"/>
    </xf>
    <xf numFmtId="1" fontId="6" fillId="9" borderId="0" xfId="0" applyNumberFormat="1" applyFont="1" applyFill="1" applyAlignment="1">
      <alignment horizontal="center" vertical="center" wrapText="1"/>
    </xf>
    <xf numFmtId="0" fontId="0" fillId="10" borderId="0" xfId="0" applyFill="1" applyBorder="1" applyAlignment="1">
      <alignment horizontal="center" wrapText="1"/>
    </xf>
    <xf numFmtId="0" fontId="0" fillId="10" borderId="0" xfId="0" applyFill="1" applyBorder="1" applyAlignment="1">
      <alignment horizontal="center" vertical="center"/>
    </xf>
  </cellXfs>
  <cellStyles count="2">
    <cellStyle name="Normal" xfId="0" builtinId="0"/>
    <cellStyle name="Percent" xfId="1" builtinId="5"/>
  </cellStyles>
  <dxfs count="20">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0" formatCode="General"/>
    </dxf>
    <dxf>
      <font>
        <b/>
        <i val="0"/>
        <strike val="0"/>
        <condense val="0"/>
        <extend val="0"/>
        <outline val="0"/>
        <shadow val="0"/>
        <u val="none"/>
        <vertAlign val="baseline"/>
        <sz val="11"/>
        <color auto="1"/>
        <name val="Calibri"/>
        <family val="2"/>
        <scheme val="minor"/>
      </font>
      <fill>
        <patternFill patternType="solid">
          <fgColor indexed="64"/>
          <bgColor rgb="FFFFFF00"/>
        </patternFill>
      </fill>
    </dxf>
  </dxfs>
  <tableStyles count="0" defaultTableStyle="TableStyleMedium9" defaultPivotStyle="PivotStyleLight16"/>
  <colors>
    <mruColors>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[Call_Center_Performance_Analysis.xlsx]Pivot reports!PivotTable2</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Team Sales &amp; Collection</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reports'!$B$3</c:f>
              <c:strCache>
                <c:ptCount val="1"/>
                <c:pt idx="0">
                  <c:v>Sum of Sales Amount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reports'!$A$4:$A$8</c:f>
              <c:strCache>
                <c:ptCount val="4"/>
                <c:pt idx="0">
                  <c:v>Collection</c:v>
                </c:pt>
                <c:pt idx="1">
                  <c:v>Retention</c:v>
                </c:pt>
                <c:pt idx="2">
                  <c:v>Sales</c:v>
                </c:pt>
                <c:pt idx="3">
                  <c:v>Support</c:v>
                </c:pt>
              </c:strCache>
            </c:strRef>
          </c:cat>
          <c:val>
            <c:numRef>
              <c:f>'Pivot reports'!$B$4:$B$8</c:f>
              <c:numCache>
                <c:formatCode>0.00</c:formatCode>
                <c:ptCount val="4"/>
                <c:pt idx="0">
                  <c:v>1683765</c:v>
                </c:pt>
                <c:pt idx="1">
                  <c:v>991519</c:v>
                </c:pt>
                <c:pt idx="2">
                  <c:v>1034118</c:v>
                </c:pt>
                <c:pt idx="3">
                  <c:v>1270489</c:v>
                </c:pt>
              </c:numCache>
            </c:numRef>
          </c:val>
          <c:extLst>
            <c:ext xmlns:c16="http://schemas.microsoft.com/office/drawing/2014/chart" uri="{C3380CC4-5D6E-409C-BE32-E72D297353CC}">
              <c16:uniqueId val="{00000000-2883-4428-A743-8272E5FF1F90}"/>
            </c:ext>
          </c:extLst>
        </c:ser>
        <c:ser>
          <c:idx val="1"/>
          <c:order val="1"/>
          <c:tx>
            <c:strRef>
              <c:f>'Pivot reports'!$C$3</c:f>
              <c:strCache>
                <c:ptCount val="1"/>
                <c:pt idx="0">
                  <c:v>Sum of Collection Amount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reports'!$A$4:$A$8</c:f>
              <c:strCache>
                <c:ptCount val="4"/>
                <c:pt idx="0">
                  <c:v>Collection</c:v>
                </c:pt>
                <c:pt idx="1">
                  <c:v>Retention</c:v>
                </c:pt>
                <c:pt idx="2">
                  <c:v>Sales</c:v>
                </c:pt>
                <c:pt idx="3">
                  <c:v>Support</c:v>
                </c:pt>
              </c:strCache>
            </c:strRef>
          </c:cat>
          <c:val>
            <c:numRef>
              <c:f>'Pivot reports'!$C$4:$C$8</c:f>
              <c:numCache>
                <c:formatCode>0.00</c:formatCode>
                <c:ptCount val="4"/>
                <c:pt idx="0">
                  <c:v>1103196</c:v>
                </c:pt>
                <c:pt idx="1">
                  <c:v>661050</c:v>
                </c:pt>
                <c:pt idx="2">
                  <c:v>768208</c:v>
                </c:pt>
                <c:pt idx="3">
                  <c:v>858014</c:v>
                </c:pt>
              </c:numCache>
            </c:numRef>
          </c:val>
          <c:extLst>
            <c:ext xmlns:c16="http://schemas.microsoft.com/office/drawing/2014/chart" uri="{C3380CC4-5D6E-409C-BE32-E72D297353CC}">
              <c16:uniqueId val="{00000001-2883-4428-A743-8272E5FF1F90}"/>
            </c:ext>
          </c:extLst>
        </c:ser>
        <c:dLbls>
          <c:dLblPos val="outEnd"/>
          <c:showLegendKey val="0"/>
          <c:showVal val="0"/>
          <c:showCatName val="0"/>
          <c:showSerName val="0"/>
          <c:showPercent val="0"/>
          <c:showBubbleSize val="0"/>
        </c:dLbls>
        <c:gapWidth val="315"/>
        <c:overlap val="-40"/>
        <c:axId val="812877903"/>
        <c:axId val="812879343"/>
      </c:barChart>
      <c:catAx>
        <c:axId val="812877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2879343"/>
        <c:crosses val="autoZero"/>
        <c:auto val="1"/>
        <c:lblAlgn val="ctr"/>
        <c:lblOffset val="100"/>
        <c:noMultiLvlLbl val="0"/>
      </c:catAx>
      <c:valAx>
        <c:axId val="81287934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2877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[Call_Center_Performance_Analysis.xlsx]Pivot reports!PivotTable3</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Manager Performance</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reports'!$F$3</c:f>
              <c:strCache>
                <c:ptCount val="1"/>
                <c:pt idx="0">
                  <c:v>Sum of Sales Amount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reports'!$E$4:$E$9</c:f>
              <c:strCache>
                <c:ptCount val="5"/>
                <c:pt idx="0">
                  <c:v>Amit</c:v>
                </c:pt>
                <c:pt idx="1">
                  <c:v>Karan</c:v>
                </c:pt>
                <c:pt idx="2">
                  <c:v>Rajesh</c:v>
                </c:pt>
                <c:pt idx="3">
                  <c:v>Ritika</c:v>
                </c:pt>
                <c:pt idx="4">
                  <c:v>Sonal</c:v>
                </c:pt>
              </c:strCache>
            </c:strRef>
          </c:cat>
          <c:val>
            <c:numRef>
              <c:f>'Pivot reports'!$F$4:$F$9</c:f>
              <c:numCache>
                <c:formatCode>General</c:formatCode>
                <c:ptCount val="5"/>
                <c:pt idx="0">
                  <c:v>783150</c:v>
                </c:pt>
                <c:pt idx="1">
                  <c:v>775356</c:v>
                </c:pt>
                <c:pt idx="2">
                  <c:v>813983</c:v>
                </c:pt>
                <c:pt idx="3">
                  <c:v>1310779</c:v>
                </c:pt>
                <c:pt idx="4">
                  <c:v>1296623</c:v>
                </c:pt>
              </c:numCache>
            </c:numRef>
          </c:val>
          <c:extLst>
            <c:ext xmlns:c16="http://schemas.microsoft.com/office/drawing/2014/chart" uri="{C3380CC4-5D6E-409C-BE32-E72D297353CC}">
              <c16:uniqueId val="{00000000-2D61-4588-90CC-F89D8F6FA285}"/>
            </c:ext>
          </c:extLst>
        </c:ser>
        <c:ser>
          <c:idx val="1"/>
          <c:order val="1"/>
          <c:tx>
            <c:strRef>
              <c:f>'Pivot reports'!$G$3</c:f>
              <c:strCache>
                <c:ptCount val="1"/>
                <c:pt idx="0">
                  <c:v>Sum of Collection Amount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reports'!$E$4:$E$9</c:f>
              <c:strCache>
                <c:ptCount val="5"/>
                <c:pt idx="0">
                  <c:v>Amit</c:v>
                </c:pt>
                <c:pt idx="1">
                  <c:v>Karan</c:v>
                </c:pt>
                <c:pt idx="2">
                  <c:v>Rajesh</c:v>
                </c:pt>
                <c:pt idx="3">
                  <c:v>Ritika</c:v>
                </c:pt>
                <c:pt idx="4">
                  <c:v>Sonal</c:v>
                </c:pt>
              </c:strCache>
            </c:strRef>
          </c:cat>
          <c:val>
            <c:numRef>
              <c:f>'Pivot reports'!$G$4:$G$9</c:f>
              <c:numCache>
                <c:formatCode>General</c:formatCode>
                <c:ptCount val="5"/>
                <c:pt idx="0">
                  <c:v>479147</c:v>
                </c:pt>
                <c:pt idx="1">
                  <c:v>726414</c:v>
                </c:pt>
                <c:pt idx="2">
                  <c:v>436807</c:v>
                </c:pt>
                <c:pt idx="3">
                  <c:v>870101</c:v>
                </c:pt>
                <c:pt idx="4">
                  <c:v>877999</c:v>
                </c:pt>
              </c:numCache>
            </c:numRef>
          </c:val>
          <c:extLst>
            <c:ext xmlns:c16="http://schemas.microsoft.com/office/drawing/2014/chart" uri="{C3380CC4-5D6E-409C-BE32-E72D297353CC}">
              <c16:uniqueId val="{00000001-2D61-4588-90CC-F89D8F6FA285}"/>
            </c:ext>
          </c:extLst>
        </c:ser>
        <c:dLbls>
          <c:showLegendKey val="0"/>
          <c:showVal val="0"/>
          <c:showCatName val="0"/>
          <c:showSerName val="0"/>
          <c:showPercent val="0"/>
          <c:showBubbleSize val="0"/>
        </c:dLbls>
        <c:gapWidth val="182"/>
        <c:overlap val="-50"/>
        <c:axId val="1202569247"/>
        <c:axId val="1202559167"/>
      </c:barChart>
      <c:catAx>
        <c:axId val="1202569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02559167"/>
        <c:crosses val="autoZero"/>
        <c:auto val="1"/>
        <c:lblAlgn val="ctr"/>
        <c:lblOffset val="100"/>
        <c:noMultiLvlLbl val="0"/>
      </c:catAx>
      <c:valAx>
        <c:axId val="12025591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02569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[Call_Center_Performance_Analysis.xlsx]Pivot reports!PivotTable4</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Shift Performance</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reports'!$B$15</c:f>
              <c:strCache>
                <c:ptCount val="1"/>
                <c:pt idx="0">
                  <c:v>Average of Sales Amount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reports'!$A$16:$A$20</c:f>
              <c:strCache>
                <c:ptCount val="4"/>
                <c:pt idx="0">
                  <c:v>Evening</c:v>
                </c:pt>
                <c:pt idx="1">
                  <c:v>General</c:v>
                </c:pt>
                <c:pt idx="2">
                  <c:v>Morning</c:v>
                </c:pt>
                <c:pt idx="3">
                  <c:v>Night</c:v>
                </c:pt>
              </c:strCache>
            </c:strRef>
          </c:cat>
          <c:val>
            <c:numRef>
              <c:f>'Pivot reports'!$B$16:$B$20</c:f>
              <c:numCache>
                <c:formatCode>0.00</c:formatCode>
                <c:ptCount val="4"/>
                <c:pt idx="0">
                  <c:v>49814.083333333336</c:v>
                </c:pt>
                <c:pt idx="1">
                  <c:v>46250.892857142855</c:v>
                </c:pt>
                <c:pt idx="2">
                  <c:v>52561.366666666669</c:v>
                </c:pt>
                <c:pt idx="3">
                  <c:v>50693.722222222219</c:v>
                </c:pt>
              </c:numCache>
            </c:numRef>
          </c:val>
          <c:extLst>
            <c:ext xmlns:c16="http://schemas.microsoft.com/office/drawing/2014/chart" uri="{C3380CC4-5D6E-409C-BE32-E72D297353CC}">
              <c16:uniqueId val="{00000000-750E-4325-AB69-C612AD5BE236}"/>
            </c:ext>
          </c:extLst>
        </c:ser>
        <c:ser>
          <c:idx val="1"/>
          <c:order val="1"/>
          <c:tx>
            <c:strRef>
              <c:f>'Pivot reports'!$C$15</c:f>
              <c:strCache>
                <c:ptCount val="1"/>
                <c:pt idx="0">
                  <c:v>Average of Actual Calls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reports'!$A$16:$A$20</c:f>
              <c:strCache>
                <c:ptCount val="4"/>
                <c:pt idx="0">
                  <c:v>Evening</c:v>
                </c:pt>
                <c:pt idx="1">
                  <c:v>General</c:v>
                </c:pt>
                <c:pt idx="2">
                  <c:v>Morning</c:v>
                </c:pt>
                <c:pt idx="3">
                  <c:v>Night</c:v>
                </c:pt>
              </c:strCache>
            </c:strRef>
          </c:cat>
          <c:val>
            <c:numRef>
              <c:f>'Pivot reports'!$C$16:$C$20</c:f>
              <c:numCache>
                <c:formatCode>0.00</c:formatCode>
                <c:ptCount val="4"/>
                <c:pt idx="0">
                  <c:v>110.45833333333333</c:v>
                </c:pt>
                <c:pt idx="1">
                  <c:v>117.5</c:v>
                </c:pt>
                <c:pt idx="2">
                  <c:v>111.23333333333333</c:v>
                </c:pt>
                <c:pt idx="3">
                  <c:v>112.72222222222223</c:v>
                </c:pt>
              </c:numCache>
            </c:numRef>
          </c:val>
          <c:extLst>
            <c:ext xmlns:c16="http://schemas.microsoft.com/office/drawing/2014/chart" uri="{C3380CC4-5D6E-409C-BE32-E72D297353CC}">
              <c16:uniqueId val="{00000001-750E-4325-AB69-C612AD5BE236}"/>
            </c:ext>
          </c:extLst>
        </c:ser>
        <c:dLbls>
          <c:showLegendKey val="0"/>
          <c:showVal val="0"/>
          <c:showCatName val="0"/>
          <c:showSerName val="0"/>
          <c:showPercent val="0"/>
          <c:showBubbleSize val="0"/>
        </c:dLbls>
        <c:gapWidth val="315"/>
        <c:overlap val="-40"/>
        <c:axId val="815656159"/>
        <c:axId val="880269583"/>
      </c:barChart>
      <c:catAx>
        <c:axId val="8156561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80269583"/>
        <c:crosses val="autoZero"/>
        <c:auto val="1"/>
        <c:lblAlgn val="ctr"/>
        <c:lblOffset val="100"/>
        <c:noMultiLvlLbl val="0"/>
      </c:catAx>
      <c:valAx>
        <c:axId val="88026958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1565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[Call_Center_Performance_Analysis.xlsx]Pivot reports!PivotTable5</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Attendance Analysis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reports'!$F$15</c:f>
              <c:strCache>
                <c:ptCount val="1"/>
                <c:pt idx="0">
                  <c:v>Absent Employees</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reports'!$E$16:$E$20</c:f>
              <c:strCache>
                <c:ptCount val="4"/>
                <c:pt idx="0">
                  <c:v>Collection</c:v>
                </c:pt>
                <c:pt idx="1">
                  <c:v>Retention</c:v>
                </c:pt>
                <c:pt idx="2">
                  <c:v>Sales</c:v>
                </c:pt>
                <c:pt idx="3">
                  <c:v>Support</c:v>
                </c:pt>
              </c:strCache>
            </c:strRef>
          </c:cat>
          <c:val>
            <c:numRef>
              <c:f>'Pivot reports'!$F$16:$F$20</c:f>
              <c:numCache>
                <c:formatCode>General</c:formatCode>
                <c:ptCount val="4"/>
                <c:pt idx="0">
                  <c:v>4</c:v>
                </c:pt>
                <c:pt idx="1">
                  <c:v>3</c:v>
                </c:pt>
                <c:pt idx="2">
                  <c:v>4</c:v>
                </c:pt>
                <c:pt idx="3">
                  <c:v>4</c:v>
                </c:pt>
              </c:numCache>
            </c:numRef>
          </c:val>
          <c:extLst>
            <c:ext xmlns:c16="http://schemas.microsoft.com/office/drawing/2014/chart" uri="{C3380CC4-5D6E-409C-BE32-E72D297353CC}">
              <c16:uniqueId val="{00000000-9A4A-473E-B9AB-2590F66940A4}"/>
            </c:ext>
          </c:extLst>
        </c:ser>
        <c:ser>
          <c:idx val="1"/>
          <c:order val="1"/>
          <c:tx>
            <c:strRef>
              <c:f>'Pivot reports'!$G$15</c:f>
              <c:strCache>
                <c:ptCount val="1"/>
                <c:pt idx="0">
                  <c:v>Count of Employee Name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reports'!$E$16:$E$20</c:f>
              <c:strCache>
                <c:ptCount val="4"/>
                <c:pt idx="0">
                  <c:v>Collection</c:v>
                </c:pt>
                <c:pt idx="1">
                  <c:v>Retention</c:v>
                </c:pt>
                <c:pt idx="2">
                  <c:v>Sales</c:v>
                </c:pt>
                <c:pt idx="3">
                  <c:v>Support</c:v>
                </c:pt>
              </c:strCache>
            </c:strRef>
          </c:cat>
          <c:val>
            <c:numRef>
              <c:f>'Pivot reports'!$G$16:$G$20</c:f>
              <c:numCache>
                <c:formatCode>General</c:formatCode>
                <c:ptCount val="4"/>
                <c:pt idx="0">
                  <c:v>34</c:v>
                </c:pt>
                <c:pt idx="1">
                  <c:v>22</c:v>
                </c:pt>
                <c:pt idx="2">
                  <c:v>22</c:v>
                </c:pt>
                <c:pt idx="3">
                  <c:v>22</c:v>
                </c:pt>
              </c:numCache>
            </c:numRef>
          </c:val>
          <c:extLst>
            <c:ext xmlns:c16="http://schemas.microsoft.com/office/drawing/2014/chart" uri="{C3380CC4-5D6E-409C-BE32-E72D297353CC}">
              <c16:uniqueId val="{00000001-9A4A-473E-B9AB-2590F66940A4}"/>
            </c:ext>
          </c:extLst>
        </c:ser>
        <c:dLbls>
          <c:showLegendKey val="0"/>
          <c:showVal val="0"/>
          <c:showCatName val="0"/>
          <c:showSerName val="0"/>
          <c:showPercent val="0"/>
          <c:showBubbleSize val="0"/>
        </c:dLbls>
        <c:gapWidth val="182"/>
        <c:overlap val="-50"/>
        <c:axId val="1198525087"/>
        <c:axId val="1198522207"/>
      </c:barChart>
      <c:catAx>
        <c:axId val="1198525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98522207"/>
        <c:crosses val="autoZero"/>
        <c:auto val="1"/>
        <c:lblAlgn val="ctr"/>
        <c:lblOffset val="100"/>
        <c:noMultiLvlLbl val="0"/>
      </c:catAx>
      <c:valAx>
        <c:axId val="11985222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98525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[Call_Center_Performance_Analysis.xlsx]Pivot reports!PivotTable8</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Lead Source Analysis</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reports'!$K$3</c:f>
              <c:strCache>
                <c:ptCount val="1"/>
                <c:pt idx="0">
                  <c:v>Average of Sales Amount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reports'!$J$4:$J$10</c:f>
              <c:strCache>
                <c:ptCount val="6"/>
                <c:pt idx="0">
                  <c:v>Cold Call</c:v>
                </c:pt>
                <c:pt idx="1">
                  <c:v>Partner</c:v>
                </c:pt>
                <c:pt idx="2">
                  <c:v>Referral</c:v>
                </c:pt>
                <c:pt idx="3">
                  <c:v>Social Media</c:v>
                </c:pt>
                <c:pt idx="4">
                  <c:v>Walk-in</c:v>
                </c:pt>
                <c:pt idx="5">
                  <c:v>Web</c:v>
                </c:pt>
              </c:strCache>
            </c:strRef>
          </c:cat>
          <c:val>
            <c:numRef>
              <c:f>'Pivot reports'!$K$4:$K$10</c:f>
              <c:numCache>
                <c:formatCode>0.00</c:formatCode>
                <c:ptCount val="6"/>
                <c:pt idx="0">
                  <c:v>51743.63636363636</c:v>
                </c:pt>
                <c:pt idx="1">
                  <c:v>48762.277777777781</c:v>
                </c:pt>
                <c:pt idx="2">
                  <c:v>55960.5</c:v>
                </c:pt>
                <c:pt idx="3">
                  <c:v>42144.181818181816</c:v>
                </c:pt>
                <c:pt idx="4">
                  <c:v>49999.576923076922</c:v>
                </c:pt>
                <c:pt idx="5">
                  <c:v>48558.166666666664</c:v>
                </c:pt>
              </c:numCache>
            </c:numRef>
          </c:val>
          <c:extLst>
            <c:ext xmlns:c16="http://schemas.microsoft.com/office/drawing/2014/chart" uri="{C3380CC4-5D6E-409C-BE32-E72D297353CC}">
              <c16:uniqueId val="{00000000-6052-4BE4-A77B-E3E259755341}"/>
            </c:ext>
          </c:extLst>
        </c:ser>
        <c:ser>
          <c:idx val="1"/>
          <c:order val="1"/>
          <c:tx>
            <c:strRef>
              <c:f>'Pivot reports'!$L$3</c:f>
              <c:strCache>
                <c:ptCount val="1"/>
                <c:pt idx="0">
                  <c:v>Average of Collection Amount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reports'!$J$4:$J$10</c:f>
              <c:strCache>
                <c:ptCount val="6"/>
                <c:pt idx="0">
                  <c:v>Cold Call</c:v>
                </c:pt>
                <c:pt idx="1">
                  <c:v>Partner</c:v>
                </c:pt>
                <c:pt idx="2">
                  <c:v>Referral</c:v>
                </c:pt>
                <c:pt idx="3">
                  <c:v>Social Media</c:v>
                </c:pt>
                <c:pt idx="4">
                  <c:v>Walk-in</c:v>
                </c:pt>
                <c:pt idx="5">
                  <c:v>Web</c:v>
                </c:pt>
              </c:strCache>
            </c:strRef>
          </c:cat>
          <c:val>
            <c:numRef>
              <c:f>'Pivot reports'!$L$4:$L$10</c:f>
              <c:numCache>
                <c:formatCode>0.00</c:formatCode>
                <c:ptCount val="6"/>
                <c:pt idx="0">
                  <c:v>42255.727272727272</c:v>
                </c:pt>
                <c:pt idx="1">
                  <c:v>36093.722222222219</c:v>
                </c:pt>
                <c:pt idx="2">
                  <c:v>31216.125</c:v>
                </c:pt>
                <c:pt idx="3">
                  <c:v>35948.181818181816</c:v>
                </c:pt>
                <c:pt idx="4">
                  <c:v>27421.73076923077</c:v>
                </c:pt>
                <c:pt idx="5">
                  <c:v>37117.5</c:v>
                </c:pt>
              </c:numCache>
            </c:numRef>
          </c:val>
          <c:extLst>
            <c:ext xmlns:c16="http://schemas.microsoft.com/office/drawing/2014/chart" uri="{C3380CC4-5D6E-409C-BE32-E72D297353CC}">
              <c16:uniqueId val="{00000001-6052-4BE4-A77B-E3E259755341}"/>
            </c:ext>
          </c:extLst>
        </c:ser>
        <c:dLbls>
          <c:showLegendKey val="0"/>
          <c:showVal val="0"/>
          <c:showCatName val="0"/>
          <c:showSerName val="0"/>
          <c:showPercent val="0"/>
          <c:showBubbleSize val="0"/>
        </c:dLbls>
        <c:gapWidth val="315"/>
        <c:overlap val="-40"/>
        <c:axId val="1197024399"/>
        <c:axId val="1197024879"/>
      </c:barChart>
      <c:catAx>
        <c:axId val="11970243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97024879"/>
        <c:crosses val="autoZero"/>
        <c:auto val="1"/>
        <c:lblAlgn val="ctr"/>
        <c:lblOffset val="100"/>
        <c:noMultiLvlLbl val="0"/>
      </c:catAx>
      <c:valAx>
        <c:axId val="119702487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9702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[Call_Center_Performance_Analysis.xlsx]Pivot reports!PivotTable6</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Efficiency Distribution</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'Pivot reports'!$K$15</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04E-46BF-AF20-71F05CB1E16F}"/>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04E-46BF-AF20-71F05CB1E16F}"/>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04E-46BF-AF20-71F05CB1E16F}"/>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E04E-46BF-AF20-71F05CB1E1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 reports'!$J$16:$J$20</c:f>
              <c:strCache>
                <c:ptCount val="4"/>
                <c:pt idx="0">
                  <c:v>Average</c:v>
                </c:pt>
                <c:pt idx="1">
                  <c:v>Excellent</c:v>
                </c:pt>
                <c:pt idx="2">
                  <c:v>Good</c:v>
                </c:pt>
                <c:pt idx="3">
                  <c:v>Poor</c:v>
                </c:pt>
              </c:strCache>
            </c:strRef>
          </c:cat>
          <c:val>
            <c:numRef>
              <c:f>'Pivot reports'!$K$16:$K$20</c:f>
              <c:numCache>
                <c:formatCode>General</c:formatCode>
                <c:ptCount val="4"/>
                <c:pt idx="0">
                  <c:v>42</c:v>
                </c:pt>
                <c:pt idx="1">
                  <c:v>11</c:v>
                </c:pt>
                <c:pt idx="2">
                  <c:v>19</c:v>
                </c:pt>
                <c:pt idx="3">
                  <c:v>28</c:v>
                </c:pt>
              </c:numCache>
            </c:numRef>
          </c:val>
          <c:extLst>
            <c:ext xmlns:c16="http://schemas.microsoft.com/office/drawing/2014/chart" uri="{C3380CC4-5D6E-409C-BE32-E72D297353CC}">
              <c16:uniqueId val="{00000008-E04E-46BF-AF20-71F05CB1E16F}"/>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xdr:colOff>
      <xdr:row>8</xdr:row>
      <xdr:rowOff>129540</xdr:rowOff>
    </xdr:from>
    <xdr:to>
      <xdr:col>5</xdr:col>
      <xdr:colOff>274320</xdr:colOff>
      <xdr:row>18</xdr:row>
      <xdr:rowOff>160020</xdr:rowOff>
    </xdr:to>
    <xdr:graphicFrame macro="">
      <xdr:nvGraphicFramePr>
        <xdr:cNvPr id="3" name="Chart 2">
          <a:extLst>
            <a:ext uri="{FF2B5EF4-FFF2-40B4-BE49-F238E27FC236}">
              <a16:creationId xmlns:a16="http://schemas.microsoft.com/office/drawing/2014/main" id="{69EE0808-64C8-4DAF-9343-EB7BD45417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579120</xdr:colOff>
      <xdr:row>8</xdr:row>
      <xdr:rowOff>129540</xdr:rowOff>
    </xdr:from>
    <xdr:to>
      <xdr:col>9</xdr:col>
      <xdr:colOff>662940</xdr:colOff>
      <xdr:row>18</xdr:row>
      <xdr:rowOff>160020</xdr:rowOff>
    </xdr:to>
    <xdr:graphicFrame macro="">
      <xdr:nvGraphicFramePr>
        <xdr:cNvPr id="4" name="Chart 3">
          <a:extLst>
            <a:ext uri="{FF2B5EF4-FFF2-40B4-BE49-F238E27FC236}">
              <a16:creationId xmlns:a16="http://schemas.microsoft.com/office/drawing/2014/main" id="{A3C8E73E-44AA-4FBA-9FE9-45FB49682B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152400</xdr:colOff>
      <xdr:row>8</xdr:row>
      <xdr:rowOff>121920</xdr:rowOff>
    </xdr:from>
    <xdr:to>
      <xdr:col>15</xdr:col>
      <xdr:colOff>281940</xdr:colOff>
      <xdr:row>18</xdr:row>
      <xdr:rowOff>152400</xdr:rowOff>
    </xdr:to>
    <xdr:graphicFrame macro="">
      <xdr:nvGraphicFramePr>
        <xdr:cNvPr id="5" name="Chart 4">
          <a:extLst>
            <a:ext uri="{FF2B5EF4-FFF2-40B4-BE49-F238E27FC236}">
              <a16:creationId xmlns:a16="http://schemas.microsoft.com/office/drawing/2014/main" id="{B4C8F7C4-9336-4B61-961F-B590EE4B2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21</xdr:row>
      <xdr:rowOff>0</xdr:rowOff>
    </xdr:from>
    <xdr:to>
      <xdr:col>5</xdr:col>
      <xdr:colOff>304800</xdr:colOff>
      <xdr:row>31</xdr:row>
      <xdr:rowOff>22860</xdr:rowOff>
    </xdr:to>
    <xdr:graphicFrame macro="">
      <xdr:nvGraphicFramePr>
        <xdr:cNvPr id="6" name="Chart 5">
          <a:extLst>
            <a:ext uri="{FF2B5EF4-FFF2-40B4-BE49-F238E27FC236}">
              <a16:creationId xmlns:a16="http://schemas.microsoft.com/office/drawing/2014/main" id="{91B2BD2E-6704-4B9C-989E-17C6211FC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556260</xdr:colOff>
      <xdr:row>20</xdr:row>
      <xdr:rowOff>175260</xdr:rowOff>
    </xdr:from>
    <xdr:to>
      <xdr:col>9</xdr:col>
      <xdr:colOff>716280</xdr:colOff>
      <xdr:row>31</xdr:row>
      <xdr:rowOff>22860</xdr:rowOff>
    </xdr:to>
    <xdr:graphicFrame macro="">
      <xdr:nvGraphicFramePr>
        <xdr:cNvPr id="8" name="Chart 7">
          <a:extLst>
            <a:ext uri="{FF2B5EF4-FFF2-40B4-BE49-F238E27FC236}">
              <a16:creationId xmlns:a16="http://schemas.microsoft.com/office/drawing/2014/main" id="{2D55ED76-11B0-403C-A6CC-1CC8D71B7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152400</xdr:colOff>
      <xdr:row>20</xdr:row>
      <xdr:rowOff>160020</xdr:rowOff>
    </xdr:from>
    <xdr:to>
      <xdr:col>15</xdr:col>
      <xdr:colOff>243840</xdr:colOff>
      <xdr:row>31</xdr:row>
      <xdr:rowOff>22860</xdr:rowOff>
    </xdr:to>
    <xdr:graphicFrame macro="">
      <xdr:nvGraphicFramePr>
        <xdr:cNvPr id="9" name="Chart 8">
          <a:extLst>
            <a:ext uri="{FF2B5EF4-FFF2-40B4-BE49-F238E27FC236}">
              <a16:creationId xmlns:a16="http://schemas.microsoft.com/office/drawing/2014/main" id="{38459915-F648-4D53-9949-D2EE8B4038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0</xdr:row>
      <xdr:rowOff>83821</xdr:rowOff>
    </xdr:from>
    <xdr:to>
      <xdr:col>0</xdr:col>
      <xdr:colOff>1394460</xdr:colOff>
      <xdr:row>8</xdr:row>
      <xdr:rowOff>175260</xdr:rowOff>
    </xdr:to>
    <mc:AlternateContent xmlns:mc="http://schemas.openxmlformats.org/markup-compatibility/2006">
      <mc:Choice xmlns:a14="http://schemas.microsoft.com/office/drawing/2010/main" Requires="a14">
        <xdr:graphicFrame macro="">
          <xdr:nvGraphicFramePr>
            <xdr:cNvPr id="2" name="Team 1">
              <a:extLst>
                <a:ext uri="{FF2B5EF4-FFF2-40B4-BE49-F238E27FC236}">
                  <a16:creationId xmlns:a16="http://schemas.microsoft.com/office/drawing/2014/main" id="{54BF7D11-DA99-46E6-85BF-FBB651FFCD2E}"/>
                </a:ext>
              </a:extLst>
            </xdr:cNvPr>
            <xdr:cNvGraphicFramePr/>
          </xdr:nvGraphicFramePr>
          <xdr:xfrm>
            <a:off x="0" y="0"/>
            <a:ext cx="0" cy="0"/>
          </xdr:xfrm>
          <a:graphic>
            <a:graphicData uri="http://schemas.microsoft.com/office/drawing/2010/slicer">
              <sle:slicer xmlns:sle="http://schemas.microsoft.com/office/drawing/2010/slicer" name="Team 1"/>
            </a:graphicData>
          </a:graphic>
        </xdr:graphicFrame>
      </mc:Choice>
      <mc:Fallback>
        <xdr:sp macro="" textlink="">
          <xdr:nvSpPr>
            <xdr:cNvPr id="0" name=""/>
            <xdr:cNvSpPr>
              <a:spLocks noTextEdit="1"/>
            </xdr:cNvSpPr>
          </xdr:nvSpPr>
          <xdr:spPr>
            <a:xfrm>
              <a:off x="0" y="83821"/>
              <a:ext cx="1394460" cy="1722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167641</xdr:rowOff>
    </xdr:from>
    <xdr:to>
      <xdr:col>0</xdr:col>
      <xdr:colOff>1402080</xdr:colOff>
      <xdr:row>20</xdr:row>
      <xdr:rowOff>121921</xdr:rowOff>
    </xdr:to>
    <mc:AlternateContent xmlns:mc="http://schemas.openxmlformats.org/markup-compatibility/2006">
      <mc:Choice xmlns:a14="http://schemas.microsoft.com/office/drawing/2010/main" Requires="a14">
        <xdr:graphicFrame macro="">
          <xdr:nvGraphicFramePr>
            <xdr:cNvPr id="7" name="Manager 1">
              <a:extLst>
                <a:ext uri="{FF2B5EF4-FFF2-40B4-BE49-F238E27FC236}">
                  <a16:creationId xmlns:a16="http://schemas.microsoft.com/office/drawing/2014/main" id="{CC217864-2786-4F7D-BE98-7605D12EA15C}"/>
                </a:ext>
              </a:extLst>
            </xdr:cNvPr>
            <xdr:cNvGraphicFramePr/>
          </xdr:nvGraphicFramePr>
          <xdr:xfrm>
            <a:off x="0" y="0"/>
            <a:ext cx="0" cy="0"/>
          </xdr:xfrm>
          <a:graphic>
            <a:graphicData uri="http://schemas.microsoft.com/office/drawing/2010/slicer">
              <sle:slicer xmlns:sle="http://schemas.microsoft.com/office/drawing/2010/slicer" name="Manager 1"/>
            </a:graphicData>
          </a:graphic>
        </xdr:graphicFrame>
      </mc:Choice>
      <mc:Fallback>
        <xdr:sp macro="" textlink="">
          <xdr:nvSpPr>
            <xdr:cNvPr id="0" name=""/>
            <xdr:cNvSpPr>
              <a:spLocks noTextEdit="1"/>
            </xdr:cNvSpPr>
          </xdr:nvSpPr>
          <xdr:spPr>
            <a:xfrm>
              <a:off x="0" y="1981201"/>
              <a:ext cx="1402080" cy="1965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60961</xdr:rowOff>
    </xdr:from>
    <xdr:to>
      <xdr:col>0</xdr:col>
      <xdr:colOff>1409700</xdr:colOff>
      <xdr:row>30</xdr:row>
      <xdr:rowOff>45721</xdr:rowOff>
    </xdr:to>
    <mc:AlternateContent xmlns:mc="http://schemas.openxmlformats.org/markup-compatibility/2006">
      <mc:Choice xmlns:a14="http://schemas.microsoft.com/office/drawing/2010/main" Requires="a14">
        <xdr:graphicFrame macro="">
          <xdr:nvGraphicFramePr>
            <xdr:cNvPr id="13" name="Shift 1">
              <a:extLst>
                <a:ext uri="{FF2B5EF4-FFF2-40B4-BE49-F238E27FC236}">
                  <a16:creationId xmlns:a16="http://schemas.microsoft.com/office/drawing/2014/main" id="{2C22F5A3-9B92-49AC-8474-81F05A7AAA2F}"/>
                </a:ext>
              </a:extLst>
            </xdr:cNvPr>
            <xdr:cNvGraphicFramePr/>
          </xdr:nvGraphicFramePr>
          <xdr:xfrm>
            <a:off x="0" y="0"/>
            <a:ext cx="0" cy="0"/>
          </xdr:xfrm>
          <a:graphic>
            <a:graphicData uri="http://schemas.microsoft.com/office/drawing/2010/slicer">
              <sle:slicer xmlns:sle="http://schemas.microsoft.com/office/drawing/2010/slicer" name="Shift 1"/>
            </a:graphicData>
          </a:graphic>
        </xdr:graphicFrame>
      </mc:Choice>
      <mc:Fallback>
        <xdr:sp macro="" textlink="">
          <xdr:nvSpPr>
            <xdr:cNvPr id="0" name=""/>
            <xdr:cNvSpPr>
              <a:spLocks noTextEdit="1"/>
            </xdr:cNvSpPr>
          </xdr:nvSpPr>
          <xdr:spPr>
            <a:xfrm>
              <a:off x="0" y="4069081"/>
              <a:ext cx="1409700" cy="1630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geesha bharti" refreshedDate="46170.666844791667" createdVersion="8" refreshedVersion="8" minRefreshableVersion="3" recordCount="100" xr:uid="{7FC76EC0-3FCC-4715-8EC7-24A4A35048C5}">
  <cacheSource type="worksheet">
    <worksheetSource name="Table1"/>
  </cacheSource>
  <cacheFields count="18">
    <cacheField name="Emp ID" numFmtId="0">
      <sharedItems/>
    </cacheField>
    <cacheField name="Employee Name" numFmtId="0">
      <sharedItems/>
    </cacheField>
    <cacheField name="Team" numFmtId="0">
      <sharedItems count="4">
        <s v="Collection"/>
        <s v="Support"/>
        <s v="Sales"/>
        <s v="Retention"/>
      </sharedItems>
    </cacheField>
    <cacheField name="Manager" numFmtId="0">
      <sharedItems count="5">
        <s v="Sonal"/>
        <s v="Rajesh"/>
        <s v="Ritika"/>
        <s v="Amit"/>
        <s v="Karan"/>
      </sharedItems>
    </cacheField>
    <cacheField name="Location" numFmtId="0">
      <sharedItems/>
    </cacheField>
    <cacheField name="Salary" numFmtId="0">
      <sharedItems containsSemiMixedTypes="0" containsString="0" containsNumber="1" containsInteger="1" minValue="22493" maxValue="54533"/>
    </cacheField>
    <cacheField name="Target Calls" numFmtId="0">
      <sharedItems containsSemiMixedTypes="0" containsString="0" containsNumber="1" containsInteger="1" minValue="80" maxValue="180"/>
    </cacheField>
    <cacheField name="Actual Calls" numFmtId="0">
      <sharedItems containsSemiMixedTypes="0" containsString="0" containsNumber="1" containsInteger="1" minValue="41" maxValue="200"/>
    </cacheField>
    <cacheField name="Sales Amount" numFmtId="0">
      <sharedItems containsSemiMixedTypes="0" containsString="0" containsNumber="1" containsInteger="1" minValue="6306" maxValue="88776"/>
    </cacheField>
    <cacheField name="Collection Amount" numFmtId="0">
      <sharedItems containsSemiMixedTypes="0" containsString="0" containsNumber="1" containsInteger="1" minValue="3379" maxValue="69961" count="100">
        <n v="56762"/>
        <n v="43577"/>
        <n v="21293"/>
        <n v="18586"/>
        <n v="10387"/>
        <n v="51169"/>
        <n v="47077"/>
        <n v="27017"/>
        <n v="33643"/>
        <n v="37213"/>
        <n v="20169"/>
        <n v="21990"/>
        <n v="9469"/>
        <n v="36074"/>
        <n v="65096"/>
        <n v="9813"/>
        <n v="67387"/>
        <n v="19053"/>
        <n v="37965"/>
        <n v="36812"/>
        <n v="26066"/>
        <n v="26221"/>
        <n v="33500"/>
        <n v="4865"/>
        <n v="20846"/>
        <n v="10170"/>
        <n v="56146"/>
        <n v="10270"/>
        <n v="22484"/>
        <n v="18495"/>
        <n v="7992"/>
        <n v="66924"/>
        <n v="21397"/>
        <n v="6710"/>
        <n v="60124"/>
        <n v="51503"/>
        <n v="14833"/>
        <n v="7922"/>
        <n v="58065"/>
        <n v="26628"/>
        <n v="47322"/>
        <n v="55384"/>
        <n v="59486"/>
        <n v="63739"/>
        <n v="31546"/>
        <n v="22367"/>
        <n v="33215"/>
        <n v="50864"/>
        <n v="25929"/>
        <n v="68359"/>
        <n v="5368"/>
        <n v="12917"/>
        <n v="33901"/>
        <n v="28998"/>
        <n v="65652"/>
        <n v="26793"/>
        <n v="19179"/>
        <n v="5379"/>
        <n v="53351"/>
        <n v="26330"/>
        <n v="25819"/>
        <n v="45710"/>
        <n v="30884"/>
        <n v="3718"/>
        <n v="36905"/>
        <n v="51098"/>
        <n v="39178"/>
        <n v="66213"/>
        <n v="62769"/>
        <n v="35603"/>
        <n v="57463"/>
        <n v="39164"/>
        <n v="48514"/>
        <n v="16917"/>
        <n v="67379"/>
        <n v="13609"/>
        <n v="38246"/>
        <n v="17782"/>
        <n v="67996"/>
        <n v="9918"/>
        <n v="12730"/>
        <n v="3379"/>
        <n v="37457"/>
        <n v="22514"/>
        <n v="45894"/>
        <n v="63851"/>
        <n v="9400"/>
        <n v="39672"/>
        <n v="20945"/>
        <n v="31155"/>
        <n v="19285"/>
        <n v="14105"/>
        <n v="16119"/>
        <n v="43905"/>
        <n v="50857"/>
        <n v="21996"/>
        <n v="4636"/>
        <n v="69961"/>
        <n v="67050"/>
        <n v="62880"/>
      </sharedItems>
    </cacheField>
    <cacheField name="Login Hours" numFmtId="0">
      <sharedItems containsSemiMixedTypes="0" containsString="0" containsNumber="1" minValue="4.5999999999999996" maxValue="10.9"/>
    </cacheField>
    <cacheField name="Attendance Status" numFmtId="0">
      <sharedItems/>
    </cacheField>
    <cacheField name="Shift" numFmtId="0">
      <sharedItems count="4">
        <s v="Evening"/>
        <s v="General"/>
        <s v="Morning"/>
        <s v="Night"/>
      </sharedItems>
    </cacheField>
    <cacheField name="Lead Source" numFmtId="0">
      <sharedItems count="6">
        <s v="Referral"/>
        <s v="Walk-in"/>
        <s v="Web"/>
        <s v="Partner"/>
        <s v="Social Media"/>
        <s v="Cold Call"/>
      </sharedItems>
    </cacheField>
    <cacheField name="Efficiency Score" numFmtId="0">
      <sharedItems containsSemiMixedTypes="0" containsString="0" containsNumber="1" minValue="4.1100000000000003" maxValue="38.96"/>
    </cacheField>
    <cacheField name="Efficiency Status" numFmtId="0">
      <sharedItems count="4">
        <s v="Poor"/>
        <s v="Average"/>
        <s v="Good"/>
        <s v="Excellent"/>
      </sharedItems>
    </cacheField>
    <cacheField name="Calls Target Status" numFmtId="0">
      <sharedItems/>
    </cacheField>
    <cacheField name="Absent Number"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2525916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E1001"/>
    <s v="Aaron Choi"/>
    <x v="0"/>
    <x v="0"/>
    <s v="Chennai"/>
    <n v="43370"/>
    <n v="164"/>
    <n v="77"/>
    <n v="38796"/>
    <x v="0"/>
    <n v="8.9"/>
    <s v="Present"/>
    <x v="0"/>
    <x v="0"/>
    <n v="8.65"/>
    <x v="0"/>
    <s v="Not Achieved"/>
    <n v="0"/>
  </r>
  <r>
    <s v="E1002"/>
    <s v="Bruce Nichols"/>
    <x v="1"/>
    <x v="1"/>
    <s v="Mumbai"/>
    <n v="47709"/>
    <n v="146"/>
    <n v="44"/>
    <n v="67281"/>
    <x v="1"/>
    <n v="10.7"/>
    <s v="Present"/>
    <x v="0"/>
    <x v="1"/>
    <n v="4.1100000000000003"/>
    <x v="0"/>
    <s v="Not Achieved"/>
    <n v="0"/>
  </r>
  <r>
    <s v="E1003"/>
    <s v="Edward Turner"/>
    <x v="0"/>
    <x v="2"/>
    <s v="Mumbai"/>
    <n v="47458"/>
    <n v="145"/>
    <n v="102"/>
    <n v="65504"/>
    <x v="2"/>
    <n v="8.1"/>
    <s v="Present"/>
    <x v="1"/>
    <x v="1"/>
    <n v="12.59"/>
    <x v="1"/>
    <s v="Not Achieved"/>
    <n v="0"/>
  </r>
  <r>
    <s v="E1004"/>
    <s v="Tonya Blair"/>
    <x v="1"/>
    <x v="0"/>
    <s v="Bengaluru"/>
    <n v="41745"/>
    <n v="136"/>
    <n v="128"/>
    <n v="16486"/>
    <x v="3"/>
    <n v="9.6999999999999993"/>
    <s v="Present"/>
    <x v="0"/>
    <x v="0"/>
    <n v="13.2"/>
    <x v="1"/>
    <s v="Not Achieved"/>
    <n v="0"/>
  </r>
  <r>
    <s v="E1005"/>
    <s v="Lisa Bonilla"/>
    <x v="1"/>
    <x v="1"/>
    <s v="Bengaluru"/>
    <n v="52337"/>
    <n v="110"/>
    <n v="137"/>
    <n v="73806"/>
    <x v="4"/>
    <n v="10.5"/>
    <s v="Present"/>
    <x v="2"/>
    <x v="0"/>
    <n v="13.05"/>
    <x v="1"/>
    <s v="Achieved"/>
    <n v="0"/>
  </r>
  <r>
    <s v="E1006"/>
    <s v="Rodney Lee"/>
    <x v="2"/>
    <x v="3"/>
    <s v="Bengaluru"/>
    <n v="36118"/>
    <n v="121"/>
    <n v="73"/>
    <n v="84947"/>
    <x v="5"/>
    <n v="5.8"/>
    <s v="Absent"/>
    <x v="0"/>
    <x v="2"/>
    <n v="12.59"/>
    <x v="1"/>
    <s v="Not Achieved"/>
    <n v="1"/>
  </r>
  <r>
    <s v="E1007"/>
    <s v="David Schultz"/>
    <x v="1"/>
    <x v="2"/>
    <s v="Chennai"/>
    <n v="38171"/>
    <n v="121"/>
    <n v="165"/>
    <n v="58681"/>
    <x v="6"/>
    <n v="7.3"/>
    <s v="Absent"/>
    <x v="2"/>
    <x v="3"/>
    <n v="22.6"/>
    <x v="2"/>
    <s v="Achieved"/>
    <n v="1"/>
  </r>
  <r>
    <s v="E1008"/>
    <s v="Wanda Alvarado"/>
    <x v="2"/>
    <x v="4"/>
    <s v="Hyderabad"/>
    <n v="33772"/>
    <n v="155"/>
    <n v="123"/>
    <n v="26495"/>
    <x v="7"/>
    <n v="6.3"/>
    <s v="Present"/>
    <x v="1"/>
    <x v="1"/>
    <n v="19.52"/>
    <x v="2"/>
    <s v="Not Achieved"/>
    <n v="0"/>
  </r>
  <r>
    <s v="E1009"/>
    <s v="Thomas Stewart"/>
    <x v="0"/>
    <x v="4"/>
    <s v="Chennai"/>
    <n v="51644"/>
    <n v="94"/>
    <n v="167"/>
    <n v="19675"/>
    <x v="8"/>
    <n v="7.7"/>
    <s v="Absent"/>
    <x v="0"/>
    <x v="4"/>
    <n v="21.69"/>
    <x v="2"/>
    <s v="Achieved"/>
    <n v="1"/>
  </r>
  <r>
    <s v="E1010"/>
    <s v="Mark Hawkins"/>
    <x v="0"/>
    <x v="0"/>
    <s v="Delhi"/>
    <n v="43215"/>
    <n v="145"/>
    <n v="114"/>
    <n v="58055"/>
    <x v="9"/>
    <n v="5.4"/>
    <s v="Present"/>
    <x v="1"/>
    <x v="5"/>
    <n v="21.11"/>
    <x v="2"/>
    <s v="Not Achieved"/>
    <n v="0"/>
  </r>
  <r>
    <s v="E1011"/>
    <s v="Tyler Marsh"/>
    <x v="3"/>
    <x v="1"/>
    <s v="Delhi"/>
    <n v="26214"/>
    <n v="175"/>
    <n v="104"/>
    <n v="23112"/>
    <x v="10"/>
    <n v="10.4"/>
    <s v="Present"/>
    <x v="2"/>
    <x v="2"/>
    <n v="10"/>
    <x v="1"/>
    <s v="Not Achieved"/>
    <n v="0"/>
  </r>
  <r>
    <s v="E1012"/>
    <s v="Jessica Carpenter"/>
    <x v="0"/>
    <x v="3"/>
    <s v="Chennai"/>
    <n v="50611"/>
    <n v="93"/>
    <n v="83"/>
    <n v="73356"/>
    <x v="11"/>
    <n v="8"/>
    <s v="Present"/>
    <x v="1"/>
    <x v="1"/>
    <n v="10.38"/>
    <x v="1"/>
    <s v="Not Achieved"/>
    <n v="0"/>
  </r>
  <r>
    <s v="E1013"/>
    <s v="Patrick Bolton"/>
    <x v="3"/>
    <x v="2"/>
    <s v="Pune"/>
    <n v="23439"/>
    <n v="88"/>
    <n v="48"/>
    <n v="46363"/>
    <x v="12"/>
    <n v="9"/>
    <s v="Present"/>
    <x v="2"/>
    <x v="3"/>
    <n v="5.33"/>
    <x v="0"/>
    <s v="Not Achieved"/>
    <n v="0"/>
  </r>
  <r>
    <s v="E1014"/>
    <s v="Aaron Adkins"/>
    <x v="2"/>
    <x v="4"/>
    <s v="Mumbai"/>
    <n v="51301"/>
    <n v="167"/>
    <n v="176"/>
    <n v="83102"/>
    <x v="13"/>
    <n v="10.8"/>
    <s v="Absent"/>
    <x v="3"/>
    <x v="3"/>
    <n v="16.3"/>
    <x v="1"/>
    <s v="Achieved"/>
    <n v="1"/>
  </r>
  <r>
    <s v="E1015"/>
    <s v="Christine Bowman"/>
    <x v="0"/>
    <x v="4"/>
    <s v="Pune"/>
    <n v="42661"/>
    <n v="118"/>
    <n v="62"/>
    <n v="7203"/>
    <x v="14"/>
    <n v="5"/>
    <s v="Present"/>
    <x v="0"/>
    <x v="2"/>
    <n v="12.4"/>
    <x v="1"/>
    <s v="Not Achieved"/>
    <n v="0"/>
  </r>
  <r>
    <s v="E1016"/>
    <s v="Shawn White"/>
    <x v="0"/>
    <x v="0"/>
    <s v="Hyderabad"/>
    <n v="35528"/>
    <n v="139"/>
    <n v="157"/>
    <n v="81852"/>
    <x v="15"/>
    <n v="5.5"/>
    <s v="Present"/>
    <x v="3"/>
    <x v="2"/>
    <n v="28.55"/>
    <x v="3"/>
    <s v="Achieved"/>
    <n v="0"/>
  </r>
  <r>
    <s v="E1017"/>
    <s v="Michael Morrison"/>
    <x v="2"/>
    <x v="4"/>
    <s v="Bengaluru"/>
    <n v="26588"/>
    <n v="113"/>
    <n v="70"/>
    <n v="21558"/>
    <x v="16"/>
    <n v="6.6"/>
    <s v="Present"/>
    <x v="0"/>
    <x v="4"/>
    <n v="10.61"/>
    <x v="1"/>
    <s v="Not Achieved"/>
    <n v="0"/>
  </r>
  <r>
    <s v="E1018"/>
    <s v="Angela Long"/>
    <x v="1"/>
    <x v="1"/>
    <s v="Chennai"/>
    <n v="39494"/>
    <n v="132"/>
    <n v="146"/>
    <n v="86177"/>
    <x v="17"/>
    <n v="4.9000000000000004"/>
    <s v="Present"/>
    <x v="0"/>
    <x v="1"/>
    <n v="29.8"/>
    <x v="3"/>
    <s v="Achieved"/>
    <n v="0"/>
  </r>
  <r>
    <s v="E1019"/>
    <s v="Deborah Baker"/>
    <x v="0"/>
    <x v="1"/>
    <s v="Bengaluru"/>
    <n v="41687"/>
    <n v="163"/>
    <n v="106"/>
    <n v="28563"/>
    <x v="18"/>
    <n v="9.8000000000000007"/>
    <s v="Present"/>
    <x v="3"/>
    <x v="1"/>
    <n v="10.82"/>
    <x v="1"/>
    <s v="Not Achieved"/>
    <n v="0"/>
  </r>
  <r>
    <s v="E1020"/>
    <s v="Charles Lee"/>
    <x v="1"/>
    <x v="3"/>
    <s v="Mumbai"/>
    <n v="42126"/>
    <n v="163"/>
    <n v="169"/>
    <n v="27745"/>
    <x v="19"/>
    <n v="10.9"/>
    <s v="Absent"/>
    <x v="2"/>
    <x v="0"/>
    <n v="15.5"/>
    <x v="1"/>
    <s v="Achieved"/>
    <n v="1"/>
  </r>
  <r>
    <s v="E1021"/>
    <s v="Rhonda Warren"/>
    <x v="2"/>
    <x v="2"/>
    <s v="Delhi"/>
    <n v="35496"/>
    <n v="180"/>
    <n v="138"/>
    <n v="42130"/>
    <x v="20"/>
    <n v="10"/>
    <s v="Present"/>
    <x v="3"/>
    <x v="1"/>
    <n v="13.8"/>
    <x v="1"/>
    <s v="Not Achieved"/>
    <n v="0"/>
  </r>
  <r>
    <s v="E1022"/>
    <s v="Kirk Hernandez"/>
    <x v="1"/>
    <x v="0"/>
    <s v="Chennai"/>
    <n v="44244"/>
    <n v="166"/>
    <n v="99"/>
    <n v="29910"/>
    <x v="21"/>
    <n v="9.6999999999999993"/>
    <s v="Present"/>
    <x v="3"/>
    <x v="5"/>
    <n v="10.210000000000001"/>
    <x v="1"/>
    <s v="Not Achieved"/>
    <n v="0"/>
  </r>
  <r>
    <s v="E1023"/>
    <s v="Joseph Thomas"/>
    <x v="1"/>
    <x v="0"/>
    <s v="Chennai"/>
    <n v="35609"/>
    <n v="107"/>
    <n v="46"/>
    <n v="84973"/>
    <x v="22"/>
    <n v="8.6"/>
    <s v="Absent"/>
    <x v="1"/>
    <x v="2"/>
    <n v="5.35"/>
    <x v="0"/>
    <s v="Not Achieved"/>
    <n v="1"/>
  </r>
  <r>
    <s v="E1024"/>
    <s v="Erik Chambers"/>
    <x v="3"/>
    <x v="1"/>
    <s v="Delhi"/>
    <n v="26718"/>
    <n v="135"/>
    <n v="99"/>
    <n v="43981"/>
    <x v="23"/>
    <n v="5.8"/>
    <s v="Present"/>
    <x v="2"/>
    <x v="1"/>
    <n v="17.07"/>
    <x v="1"/>
    <s v="Not Achieved"/>
    <n v="0"/>
  </r>
  <r>
    <s v="E1025"/>
    <s v="Thomas English"/>
    <x v="0"/>
    <x v="0"/>
    <s v="Bengaluru"/>
    <n v="26864"/>
    <n v="124"/>
    <n v="139"/>
    <n v="39806"/>
    <x v="24"/>
    <n v="10.4"/>
    <s v="Absent"/>
    <x v="1"/>
    <x v="1"/>
    <n v="13.37"/>
    <x v="1"/>
    <s v="Achieved"/>
    <n v="1"/>
  </r>
  <r>
    <s v="E1026"/>
    <s v="Jeffrey Ruiz"/>
    <x v="2"/>
    <x v="3"/>
    <s v="Hyderabad"/>
    <n v="48801"/>
    <n v="93"/>
    <n v="86"/>
    <n v="72548"/>
    <x v="25"/>
    <n v="6.4"/>
    <s v="Present"/>
    <x v="2"/>
    <x v="3"/>
    <n v="13.44"/>
    <x v="1"/>
    <s v="Not Achieved"/>
    <n v="0"/>
  </r>
  <r>
    <s v="E1027"/>
    <s v="Kristen Williams"/>
    <x v="1"/>
    <x v="0"/>
    <s v="Pune"/>
    <n v="27836"/>
    <n v="145"/>
    <n v="91"/>
    <n v="77073"/>
    <x v="26"/>
    <n v="10.5"/>
    <s v="Present"/>
    <x v="2"/>
    <x v="5"/>
    <n v="8.67"/>
    <x v="0"/>
    <s v="Not Achieved"/>
    <n v="0"/>
  </r>
  <r>
    <s v="E1028"/>
    <s v="Jessica Ballard"/>
    <x v="0"/>
    <x v="2"/>
    <s v="Hyderabad"/>
    <n v="24017"/>
    <n v="156"/>
    <n v="101"/>
    <n v="83754"/>
    <x v="27"/>
    <n v="7.2"/>
    <s v="Present"/>
    <x v="2"/>
    <x v="0"/>
    <n v="14.03"/>
    <x v="1"/>
    <s v="Not Achieved"/>
    <n v="0"/>
  </r>
  <r>
    <s v="E1029"/>
    <s v="Ms. Robin Ross"/>
    <x v="0"/>
    <x v="1"/>
    <s v="Bengaluru"/>
    <n v="42031"/>
    <n v="141"/>
    <n v="126"/>
    <n v="12797"/>
    <x v="28"/>
    <n v="10.5"/>
    <s v="Present"/>
    <x v="0"/>
    <x v="4"/>
    <n v="12"/>
    <x v="1"/>
    <s v="Not Achieved"/>
    <n v="0"/>
  </r>
  <r>
    <s v="E1030"/>
    <s v="Anna Ray"/>
    <x v="2"/>
    <x v="2"/>
    <s v="Mumbai"/>
    <n v="25854"/>
    <n v="84"/>
    <n v="158"/>
    <n v="34767"/>
    <x v="29"/>
    <n v="6.2"/>
    <s v="Present"/>
    <x v="2"/>
    <x v="0"/>
    <n v="25.48"/>
    <x v="3"/>
    <s v="Achieved"/>
    <n v="0"/>
  </r>
  <r>
    <s v="E1031"/>
    <s v="Ryan Taylor"/>
    <x v="0"/>
    <x v="3"/>
    <s v="Chennai"/>
    <n v="43028"/>
    <n v="168"/>
    <n v="100"/>
    <n v="77790"/>
    <x v="30"/>
    <n v="5.7"/>
    <s v="Present"/>
    <x v="2"/>
    <x v="1"/>
    <n v="17.54"/>
    <x v="1"/>
    <s v="Not Achieved"/>
    <n v="0"/>
  </r>
  <r>
    <s v="E1032"/>
    <s v="Michael Ford"/>
    <x v="2"/>
    <x v="0"/>
    <s v="Pune"/>
    <n v="38757"/>
    <n v="98"/>
    <n v="110"/>
    <n v="42396"/>
    <x v="31"/>
    <n v="7.6"/>
    <s v="Present"/>
    <x v="3"/>
    <x v="1"/>
    <n v="14.47"/>
    <x v="1"/>
    <s v="Achieved"/>
    <n v="0"/>
  </r>
  <r>
    <s v="E1033"/>
    <s v="Kelli Bean"/>
    <x v="1"/>
    <x v="4"/>
    <s v="Chennai"/>
    <n v="31572"/>
    <n v="138"/>
    <n v="58"/>
    <n v="29876"/>
    <x v="32"/>
    <n v="9.6"/>
    <s v="Present"/>
    <x v="2"/>
    <x v="3"/>
    <n v="6.04"/>
    <x v="0"/>
    <s v="Not Achieved"/>
    <n v="0"/>
  </r>
  <r>
    <s v="E1034"/>
    <s v="Jaclyn Mooney"/>
    <x v="1"/>
    <x v="3"/>
    <s v="Pune"/>
    <n v="45919"/>
    <n v="148"/>
    <n v="80"/>
    <n v="29073"/>
    <x v="33"/>
    <n v="8.6"/>
    <s v="Present"/>
    <x v="1"/>
    <x v="2"/>
    <n v="9.3000000000000007"/>
    <x v="0"/>
    <s v="Not Achieved"/>
    <n v="0"/>
  </r>
  <r>
    <s v="E1035"/>
    <s v="Jordan Curtis"/>
    <x v="2"/>
    <x v="3"/>
    <s v="Mumbai"/>
    <n v="28387"/>
    <n v="145"/>
    <n v="165"/>
    <n v="6306"/>
    <x v="34"/>
    <n v="7.8"/>
    <s v="Present"/>
    <x v="1"/>
    <x v="5"/>
    <n v="21.15"/>
    <x v="2"/>
    <s v="Achieved"/>
    <n v="0"/>
  </r>
  <r>
    <s v="E1036"/>
    <s v="Zachary Cobb"/>
    <x v="1"/>
    <x v="4"/>
    <s v="Chennai"/>
    <n v="43919"/>
    <n v="140"/>
    <n v="136"/>
    <n v="72682"/>
    <x v="35"/>
    <n v="7.2"/>
    <s v="Present"/>
    <x v="1"/>
    <x v="4"/>
    <n v="18.89"/>
    <x v="2"/>
    <s v="Not Achieved"/>
    <n v="0"/>
  </r>
  <r>
    <s v="E1037"/>
    <s v="Ryan Mcdaniel"/>
    <x v="0"/>
    <x v="0"/>
    <s v="Pune"/>
    <n v="37089"/>
    <n v="157"/>
    <n v="109"/>
    <n v="17946"/>
    <x v="36"/>
    <n v="9.4"/>
    <s v="Present"/>
    <x v="2"/>
    <x v="3"/>
    <n v="11.6"/>
    <x v="1"/>
    <s v="Not Achieved"/>
    <n v="0"/>
  </r>
  <r>
    <s v="E1038"/>
    <s v="Mrs. Christine Lopez"/>
    <x v="3"/>
    <x v="2"/>
    <s v="Mumbai"/>
    <n v="29423"/>
    <n v="134"/>
    <n v="182"/>
    <n v="42860"/>
    <x v="37"/>
    <n v="7.7"/>
    <s v="Present"/>
    <x v="3"/>
    <x v="3"/>
    <n v="23.64"/>
    <x v="2"/>
    <s v="Achieved"/>
    <n v="0"/>
  </r>
  <r>
    <s v="E1039"/>
    <s v="Candace Edwards"/>
    <x v="1"/>
    <x v="0"/>
    <s v="Pune"/>
    <n v="31339"/>
    <n v="174"/>
    <n v="58"/>
    <n v="73417"/>
    <x v="38"/>
    <n v="8.4"/>
    <s v="Present"/>
    <x v="1"/>
    <x v="4"/>
    <n v="6.9"/>
    <x v="0"/>
    <s v="Not Achieved"/>
    <n v="0"/>
  </r>
  <r>
    <s v="E1040"/>
    <s v="Brandon Wilkins"/>
    <x v="1"/>
    <x v="3"/>
    <s v="Mumbai"/>
    <n v="42768"/>
    <n v="144"/>
    <n v="163"/>
    <n v="28510"/>
    <x v="39"/>
    <n v="6.1"/>
    <s v="Present"/>
    <x v="2"/>
    <x v="2"/>
    <n v="26.72"/>
    <x v="3"/>
    <s v="Achieved"/>
    <n v="0"/>
  </r>
  <r>
    <s v="E1041"/>
    <s v="Douglas Gallegos"/>
    <x v="2"/>
    <x v="2"/>
    <s v="Delhi"/>
    <n v="42644"/>
    <n v="170"/>
    <n v="74"/>
    <n v="51771"/>
    <x v="40"/>
    <n v="4.5999999999999996"/>
    <s v="Present"/>
    <x v="3"/>
    <x v="1"/>
    <n v="16.09"/>
    <x v="1"/>
    <s v="Not Achieved"/>
    <n v="0"/>
  </r>
  <r>
    <s v="E1042"/>
    <s v="John Grant"/>
    <x v="1"/>
    <x v="4"/>
    <s v="Mumbai"/>
    <n v="39108"/>
    <n v="130"/>
    <n v="46"/>
    <n v="87292"/>
    <x v="41"/>
    <n v="7.2"/>
    <s v="Present"/>
    <x v="2"/>
    <x v="5"/>
    <n v="6.39"/>
    <x v="0"/>
    <s v="Not Achieved"/>
    <n v="0"/>
  </r>
  <r>
    <s v="E1043"/>
    <s v="April Anderson"/>
    <x v="0"/>
    <x v="4"/>
    <s v="Bengaluru"/>
    <n v="29402"/>
    <n v="109"/>
    <n v="53"/>
    <n v="9025"/>
    <x v="42"/>
    <n v="9.8000000000000007"/>
    <s v="Present"/>
    <x v="2"/>
    <x v="3"/>
    <n v="5.41"/>
    <x v="0"/>
    <s v="Not Achieved"/>
    <n v="0"/>
  </r>
  <r>
    <s v="E1044"/>
    <s v="Sara Norton"/>
    <x v="1"/>
    <x v="0"/>
    <s v="Delhi"/>
    <n v="26997"/>
    <n v="95"/>
    <n v="153"/>
    <n v="11341"/>
    <x v="43"/>
    <n v="10.3"/>
    <s v="Present"/>
    <x v="1"/>
    <x v="3"/>
    <n v="14.85"/>
    <x v="1"/>
    <s v="Achieved"/>
    <n v="0"/>
  </r>
  <r>
    <s v="E1045"/>
    <s v="Robert Bond"/>
    <x v="3"/>
    <x v="1"/>
    <s v="Delhi"/>
    <n v="22493"/>
    <n v="84"/>
    <n v="200"/>
    <n v="65335"/>
    <x v="44"/>
    <n v="10.4"/>
    <s v="Present"/>
    <x v="2"/>
    <x v="2"/>
    <n v="19.23"/>
    <x v="2"/>
    <s v="Achieved"/>
    <n v="0"/>
  </r>
  <r>
    <s v="E1046"/>
    <s v="Brian Hall"/>
    <x v="3"/>
    <x v="2"/>
    <s v="Mumbai"/>
    <n v="35160"/>
    <n v="90"/>
    <n v="105"/>
    <n v="52051"/>
    <x v="45"/>
    <n v="10.1"/>
    <s v="Absent"/>
    <x v="1"/>
    <x v="0"/>
    <n v="10.4"/>
    <x v="1"/>
    <s v="Achieved"/>
    <n v="1"/>
  </r>
  <r>
    <s v="E1047"/>
    <s v="Karen Graham"/>
    <x v="3"/>
    <x v="2"/>
    <s v="Delhi"/>
    <n v="35385"/>
    <n v="87"/>
    <n v="114"/>
    <n v="74413"/>
    <x v="46"/>
    <n v="6.1"/>
    <s v="Present"/>
    <x v="0"/>
    <x v="1"/>
    <n v="18.690000000000001"/>
    <x v="2"/>
    <s v="Achieved"/>
    <n v="0"/>
  </r>
  <r>
    <s v="E1048"/>
    <s v="Kimberly Jones"/>
    <x v="0"/>
    <x v="0"/>
    <s v="Bengaluru"/>
    <n v="26166"/>
    <n v="101"/>
    <n v="184"/>
    <n v="37156"/>
    <x v="47"/>
    <n v="5.9"/>
    <s v="Present"/>
    <x v="1"/>
    <x v="5"/>
    <n v="31.19"/>
    <x v="3"/>
    <s v="Achieved"/>
    <n v="0"/>
  </r>
  <r>
    <s v="E1049"/>
    <s v="Christopher Brown"/>
    <x v="0"/>
    <x v="1"/>
    <s v="Hyderabad"/>
    <n v="27602"/>
    <n v="154"/>
    <n v="63"/>
    <n v="50143"/>
    <x v="48"/>
    <n v="10.3"/>
    <s v="Present"/>
    <x v="2"/>
    <x v="1"/>
    <n v="6.12"/>
    <x v="0"/>
    <s v="Not Achieved"/>
    <n v="0"/>
  </r>
  <r>
    <s v="E1050"/>
    <s v="Brett Martin"/>
    <x v="3"/>
    <x v="2"/>
    <s v="Delhi"/>
    <n v="26613"/>
    <n v="92"/>
    <n v="153"/>
    <n v="27397"/>
    <x v="49"/>
    <n v="7.5"/>
    <s v="Present"/>
    <x v="3"/>
    <x v="4"/>
    <n v="20.399999999999999"/>
    <x v="2"/>
    <s v="Achieved"/>
    <n v="0"/>
  </r>
  <r>
    <s v="E1051"/>
    <s v="Sara Green"/>
    <x v="2"/>
    <x v="3"/>
    <s v="Chennai"/>
    <n v="29323"/>
    <n v="92"/>
    <n v="185"/>
    <n v="26292"/>
    <x v="50"/>
    <n v="4.9000000000000004"/>
    <s v="Absent"/>
    <x v="0"/>
    <x v="1"/>
    <n v="37.76"/>
    <x v="3"/>
    <s v="Achieved"/>
    <n v="1"/>
  </r>
  <r>
    <s v="E1052"/>
    <s v="Edgar Hunter"/>
    <x v="1"/>
    <x v="0"/>
    <s v="Pune"/>
    <n v="28177"/>
    <n v="111"/>
    <n v="113"/>
    <n v="51570"/>
    <x v="51"/>
    <n v="9.6"/>
    <s v="Present"/>
    <x v="0"/>
    <x v="0"/>
    <n v="11.77"/>
    <x v="1"/>
    <s v="Achieved"/>
    <n v="0"/>
  </r>
  <r>
    <s v="E1053"/>
    <s v="David Mcconnell"/>
    <x v="0"/>
    <x v="2"/>
    <s v="Hyderabad"/>
    <n v="53723"/>
    <n v="97"/>
    <n v="198"/>
    <n v="73503"/>
    <x v="52"/>
    <n v="10.199999999999999"/>
    <s v="Present"/>
    <x v="2"/>
    <x v="0"/>
    <n v="19.41"/>
    <x v="2"/>
    <s v="Achieved"/>
    <n v="0"/>
  </r>
  <r>
    <s v="E1054"/>
    <s v="Justin Holland"/>
    <x v="3"/>
    <x v="2"/>
    <s v="Hyderabad"/>
    <n v="27092"/>
    <n v="80"/>
    <n v="148"/>
    <n v="22079"/>
    <x v="53"/>
    <n v="4.7"/>
    <s v="Present"/>
    <x v="0"/>
    <x v="1"/>
    <n v="31.49"/>
    <x v="3"/>
    <s v="Achieved"/>
    <n v="0"/>
  </r>
  <r>
    <s v="E1055"/>
    <s v="Anthony Harvey"/>
    <x v="1"/>
    <x v="4"/>
    <s v="Bengaluru"/>
    <n v="32344"/>
    <n v="155"/>
    <n v="159"/>
    <n v="61335"/>
    <x v="54"/>
    <n v="6.7"/>
    <s v="Present"/>
    <x v="2"/>
    <x v="5"/>
    <n v="23.73"/>
    <x v="2"/>
    <s v="Achieved"/>
    <n v="0"/>
  </r>
  <r>
    <s v="E1056"/>
    <s v="Cameron Cox"/>
    <x v="0"/>
    <x v="3"/>
    <s v="Delhi"/>
    <n v="53425"/>
    <n v="167"/>
    <n v="134"/>
    <n v="80924"/>
    <x v="55"/>
    <n v="9.9"/>
    <s v="Absent"/>
    <x v="0"/>
    <x v="2"/>
    <n v="13.54"/>
    <x v="1"/>
    <s v="Not Achieved"/>
    <n v="1"/>
  </r>
  <r>
    <s v="E1057"/>
    <s v="Jonathan Ramos"/>
    <x v="3"/>
    <x v="2"/>
    <s v="Bengaluru"/>
    <n v="54036"/>
    <n v="101"/>
    <n v="75"/>
    <n v="38295"/>
    <x v="56"/>
    <n v="10.9"/>
    <s v="Present"/>
    <x v="0"/>
    <x v="4"/>
    <n v="6.88"/>
    <x v="0"/>
    <s v="Not Achieved"/>
    <n v="0"/>
  </r>
  <r>
    <s v="E1058"/>
    <s v="Michelle Cabrera"/>
    <x v="2"/>
    <x v="2"/>
    <s v="Pune"/>
    <n v="23012"/>
    <n v="154"/>
    <n v="77"/>
    <n v="60820"/>
    <x v="57"/>
    <n v="8.6999999999999993"/>
    <s v="Present"/>
    <x v="0"/>
    <x v="1"/>
    <n v="8.85"/>
    <x v="0"/>
    <s v="Not Achieved"/>
    <n v="0"/>
  </r>
  <r>
    <s v="E1059"/>
    <s v="Jackson Heath"/>
    <x v="2"/>
    <x v="0"/>
    <s v="Hyderabad"/>
    <n v="45564"/>
    <n v="156"/>
    <n v="73"/>
    <n v="77996"/>
    <x v="58"/>
    <n v="6"/>
    <s v="Absent"/>
    <x v="2"/>
    <x v="5"/>
    <n v="12.17"/>
    <x v="1"/>
    <s v="Not Achieved"/>
    <n v="1"/>
  </r>
  <r>
    <s v="E1060"/>
    <s v="Sandra Park"/>
    <x v="3"/>
    <x v="2"/>
    <s v="Chennai"/>
    <n v="29486"/>
    <n v="128"/>
    <n v="65"/>
    <n v="18845"/>
    <x v="59"/>
    <n v="7.2"/>
    <s v="Present"/>
    <x v="1"/>
    <x v="2"/>
    <n v="9.0299999999999994"/>
    <x v="0"/>
    <s v="Not Achieved"/>
    <n v="0"/>
  </r>
  <r>
    <s v="E1061"/>
    <s v="Ann Bryant"/>
    <x v="3"/>
    <x v="4"/>
    <s v="Mumbai"/>
    <n v="53819"/>
    <n v="124"/>
    <n v="84"/>
    <n v="42778"/>
    <x v="60"/>
    <n v="9.5"/>
    <s v="Present"/>
    <x v="0"/>
    <x v="3"/>
    <n v="8.84"/>
    <x v="0"/>
    <s v="Not Achieved"/>
    <n v="0"/>
  </r>
  <r>
    <s v="E1062"/>
    <s v="Jacqueline Parker"/>
    <x v="2"/>
    <x v="1"/>
    <s v="Mumbai"/>
    <n v="37700"/>
    <n v="176"/>
    <n v="97"/>
    <n v="63849"/>
    <x v="61"/>
    <n v="4.7"/>
    <s v="Present"/>
    <x v="2"/>
    <x v="0"/>
    <n v="20.64"/>
    <x v="2"/>
    <s v="Not Achieved"/>
    <n v="0"/>
  </r>
  <r>
    <s v="E1063"/>
    <s v="Brian Arias"/>
    <x v="0"/>
    <x v="4"/>
    <s v="Bengaluru"/>
    <n v="50472"/>
    <n v="102"/>
    <n v="87"/>
    <n v="83928"/>
    <x v="62"/>
    <n v="6.9"/>
    <s v="Present"/>
    <x v="0"/>
    <x v="3"/>
    <n v="12.61"/>
    <x v="1"/>
    <s v="Not Achieved"/>
    <n v="0"/>
  </r>
  <r>
    <s v="E1064"/>
    <s v="Melissa Diaz"/>
    <x v="2"/>
    <x v="0"/>
    <s v="Delhi"/>
    <n v="41717"/>
    <n v="140"/>
    <n v="110"/>
    <n v="9804"/>
    <x v="63"/>
    <n v="10.7"/>
    <s v="Present"/>
    <x v="1"/>
    <x v="4"/>
    <n v="10.28"/>
    <x v="1"/>
    <s v="Not Achieved"/>
    <n v="0"/>
  </r>
  <r>
    <s v="E1065"/>
    <s v="Kelly Wilson"/>
    <x v="0"/>
    <x v="2"/>
    <s v="Bengaluru"/>
    <n v="27641"/>
    <n v="114"/>
    <n v="62"/>
    <n v="60073"/>
    <x v="64"/>
    <n v="7.4"/>
    <s v="Present"/>
    <x v="2"/>
    <x v="1"/>
    <n v="8.3800000000000008"/>
    <x v="0"/>
    <s v="Not Achieved"/>
    <n v="0"/>
  </r>
  <r>
    <s v="E1066"/>
    <s v="Alice Cole"/>
    <x v="1"/>
    <x v="4"/>
    <s v="Mumbai"/>
    <n v="36165"/>
    <n v="136"/>
    <n v="87"/>
    <n v="74810"/>
    <x v="65"/>
    <n v="6.8"/>
    <s v="Present"/>
    <x v="2"/>
    <x v="3"/>
    <n v="12.79"/>
    <x v="1"/>
    <s v="Not Achieved"/>
    <n v="0"/>
  </r>
  <r>
    <s v="E1067"/>
    <s v="Erica Manning"/>
    <x v="2"/>
    <x v="4"/>
    <s v="Pune"/>
    <n v="36546"/>
    <n v="102"/>
    <n v="67"/>
    <n v="53456"/>
    <x v="66"/>
    <n v="10.3"/>
    <s v="Present"/>
    <x v="0"/>
    <x v="4"/>
    <n v="6.5"/>
    <x v="0"/>
    <s v="Not Achieved"/>
    <n v="0"/>
  </r>
  <r>
    <s v="E1068"/>
    <s v="Anthony Mccarthy"/>
    <x v="3"/>
    <x v="2"/>
    <s v="Hyderabad"/>
    <n v="32653"/>
    <n v="177"/>
    <n v="45"/>
    <n v="21327"/>
    <x v="67"/>
    <n v="7.1"/>
    <s v="Present"/>
    <x v="3"/>
    <x v="1"/>
    <n v="6.34"/>
    <x v="0"/>
    <s v="Not Achieved"/>
    <n v="0"/>
  </r>
  <r>
    <s v="E1069"/>
    <s v="Caitlin Mata"/>
    <x v="0"/>
    <x v="1"/>
    <s v="Bengaluru"/>
    <n v="54533"/>
    <n v="128"/>
    <n v="41"/>
    <n v="80417"/>
    <x v="68"/>
    <n v="5.7"/>
    <s v="Present"/>
    <x v="0"/>
    <x v="1"/>
    <n v="7.19"/>
    <x v="0"/>
    <s v="Not Achieved"/>
    <n v="0"/>
  </r>
  <r>
    <s v="E1070"/>
    <s v="Roberta Vazquez"/>
    <x v="2"/>
    <x v="3"/>
    <s v="Pune"/>
    <n v="52510"/>
    <n v="129"/>
    <n v="161"/>
    <n v="44935"/>
    <x v="69"/>
    <n v="9.3000000000000007"/>
    <s v="Present"/>
    <x v="1"/>
    <x v="2"/>
    <n v="17.309999999999999"/>
    <x v="1"/>
    <s v="Achieved"/>
    <n v="0"/>
  </r>
  <r>
    <s v="E1071"/>
    <s v="Christopher Warren"/>
    <x v="0"/>
    <x v="1"/>
    <s v="Mumbai"/>
    <n v="52387"/>
    <n v="177"/>
    <n v="56"/>
    <n v="16941"/>
    <x v="70"/>
    <n v="8.9"/>
    <s v="Present"/>
    <x v="2"/>
    <x v="3"/>
    <n v="6.29"/>
    <x v="0"/>
    <s v="Not Achieved"/>
    <n v="0"/>
  </r>
  <r>
    <s v="E1072"/>
    <s v="Tommy Kim"/>
    <x v="0"/>
    <x v="0"/>
    <s v="Pune"/>
    <n v="54066"/>
    <n v="167"/>
    <n v="120"/>
    <n v="24286"/>
    <x v="71"/>
    <n v="4.5999999999999996"/>
    <s v="Present"/>
    <x v="1"/>
    <x v="1"/>
    <n v="26.09"/>
    <x v="3"/>
    <s v="Not Achieved"/>
    <n v="0"/>
  </r>
  <r>
    <s v="E1073"/>
    <s v="Samantha Sanchez"/>
    <x v="0"/>
    <x v="0"/>
    <s v="Hyderabad"/>
    <n v="52369"/>
    <n v="97"/>
    <n v="48"/>
    <n v="50799"/>
    <x v="72"/>
    <n v="9"/>
    <s v="Present"/>
    <x v="3"/>
    <x v="3"/>
    <n v="5.33"/>
    <x v="0"/>
    <s v="Not Achieved"/>
    <n v="0"/>
  </r>
  <r>
    <s v="E1074"/>
    <s v="David Smith"/>
    <x v="0"/>
    <x v="0"/>
    <s v="Delhi"/>
    <n v="48015"/>
    <n v="108"/>
    <n v="112"/>
    <n v="63542"/>
    <x v="73"/>
    <n v="9.6999999999999993"/>
    <s v="Present"/>
    <x v="0"/>
    <x v="5"/>
    <n v="11.55"/>
    <x v="1"/>
    <s v="Achieved"/>
    <n v="0"/>
  </r>
  <r>
    <s v="E1075"/>
    <s v="Ryan White"/>
    <x v="3"/>
    <x v="2"/>
    <s v="Bengaluru"/>
    <n v="33584"/>
    <n v="142"/>
    <n v="125"/>
    <n v="32301"/>
    <x v="74"/>
    <n v="9.6999999999999993"/>
    <s v="Absent"/>
    <x v="3"/>
    <x v="2"/>
    <n v="12.89"/>
    <x v="1"/>
    <s v="Not Achieved"/>
    <n v="1"/>
  </r>
  <r>
    <s v="E1076"/>
    <s v="Tammy Perry"/>
    <x v="2"/>
    <x v="1"/>
    <s v="Delhi"/>
    <n v="38071"/>
    <n v="175"/>
    <n v="124"/>
    <n v="50841"/>
    <x v="75"/>
    <n v="5.0999999999999996"/>
    <s v="Present"/>
    <x v="3"/>
    <x v="0"/>
    <n v="24.31"/>
    <x v="2"/>
    <s v="Not Achieved"/>
    <n v="0"/>
  </r>
  <r>
    <s v="E1077"/>
    <s v="Kimberly Miller"/>
    <x v="3"/>
    <x v="2"/>
    <s v="Hyderabad"/>
    <n v="45917"/>
    <n v="83"/>
    <n v="133"/>
    <n v="74473"/>
    <x v="76"/>
    <n v="9.4"/>
    <s v="Present"/>
    <x v="2"/>
    <x v="2"/>
    <n v="14.15"/>
    <x v="1"/>
    <s v="Achieved"/>
    <n v="0"/>
  </r>
  <r>
    <s v="E1078"/>
    <s v="James Padilla"/>
    <x v="3"/>
    <x v="0"/>
    <s v="Chennai"/>
    <n v="22883"/>
    <n v="153"/>
    <n v="200"/>
    <n v="85988"/>
    <x v="77"/>
    <n v="9"/>
    <s v="Present"/>
    <x v="0"/>
    <x v="1"/>
    <n v="22.22"/>
    <x v="2"/>
    <s v="Achieved"/>
    <n v="0"/>
  </r>
  <r>
    <s v="E1079"/>
    <s v="Michael Turner"/>
    <x v="1"/>
    <x v="3"/>
    <s v="Bengaluru"/>
    <n v="44273"/>
    <n v="168"/>
    <n v="187"/>
    <n v="71236"/>
    <x v="78"/>
    <n v="9"/>
    <s v="Present"/>
    <x v="1"/>
    <x v="0"/>
    <n v="20.78"/>
    <x v="2"/>
    <s v="Achieved"/>
    <n v="0"/>
  </r>
  <r>
    <s v="E1080"/>
    <s v="Kelsey Lee"/>
    <x v="0"/>
    <x v="2"/>
    <s v="Hyderabad"/>
    <n v="54130"/>
    <n v="96"/>
    <n v="104"/>
    <n v="43412"/>
    <x v="79"/>
    <n v="10.7"/>
    <s v="Present"/>
    <x v="1"/>
    <x v="2"/>
    <n v="9.7200000000000006"/>
    <x v="0"/>
    <s v="Achieved"/>
    <n v="0"/>
  </r>
  <r>
    <s v="E1081"/>
    <s v="Jeffery King"/>
    <x v="2"/>
    <x v="4"/>
    <s v="Pune"/>
    <n v="51588"/>
    <n v="160"/>
    <n v="57"/>
    <n v="12297"/>
    <x v="80"/>
    <n v="8.3000000000000007"/>
    <s v="Present"/>
    <x v="1"/>
    <x v="1"/>
    <n v="6.87"/>
    <x v="0"/>
    <s v="Not Achieved"/>
    <n v="0"/>
  </r>
  <r>
    <s v="E1082"/>
    <s v="Robert Roberts"/>
    <x v="0"/>
    <x v="0"/>
    <s v="Mumbai"/>
    <n v="37089"/>
    <n v="100"/>
    <n v="187"/>
    <n v="67565"/>
    <x v="81"/>
    <n v="4.8"/>
    <s v="Present"/>
    <x v="0"/>
    <x v="1"/>
    <n v="38.96"/>
    <x v="3"/>
    <s v="Achieved"/>
    <n v="0"/>
  </r>
  <r>
    <s v="E1083"/>
    <s v="Joshua Sosa"/>
    <x v="3"/>
    <x v="0"/>
    <s v="Bengaluru"/>
    <n v="50847"/>
    <n v="141"/>
    <n v="42"/>
    <n v="70273"/>
    <x v="82"/>
    <n v="5"/>
    <s v="Present"/>
    <x v="3"/>
    <x v="2"/>
    <n v="8.4"/>
    <x v="0"/>
    <s v="Not Achieved"/>
    <n v="0"/>
  </r>
  <r>
    <s v="E1084"/>
    <s v="Michael Nelson"/>
    <x v="0"/>
    <x v="0"/>
    <s v="Mumbai"/>
    <n v="42710"/>
    <n v="93"/>
    <n v="122"/>
    <n v="68131"/>
    <x v="83"/>
    <n v="7.7"/>
    <s v="Present"/>
    <x v="1"/>
    <x v="4"/>
    <n v="15.84"/>
    <x v="1"/>
    <s v="Achieved"/>
    <n v="0"/>
  </r>
  <r>
    <s v="E1085"/>
    <s v="Richard Garcia"/>
    <x v="1"/>
    <x v="0"/>
    <s v="Delhi"/>
    <n v="38752"/>
    <n v="96"/>
    <n v="80"/>
    <n v="76262"/>
    <x v="84"/>
    <n v="7.5"/>
    <s v="Present"/>
    <x v="3"/>
    <x v="0"/>
    <n v="10.67"/>
    <x v="1"/>
    <s v="Not Achieved"/>
    <n v="0"/>
  </r>
  <r>
    <s v="E1086"/>
    <s v="Matthew Davis"/>
    <x v="0"/>
    <x v="3"/>
    <s v="Mumbai"/>
    <n v="27046"/>
    <n v="119"/>
    <n v="97"/>
    <n v="7173"/>
    <x v="85"/>
    <n v="6.9"/>
    <s v="Present"/>
    <x v="1"/>
    <x v="2"/>
    <n v="14.06"/>
    <x v="1"/>
    <s v="Not Achieved"/>
    <n v="0"/>
  </r>
  <r>
    <s v="E1087"/>
    <s v="Nicole Davis"/>
    <x v="0"/>
    <x v="3"/>
    <s v="Pune"/>
    <n v="29725"/>
    <n v="135"/>
    <n v="83"/>
    <n v="66374"/>
    <x v="86"/>
    <n v="10.199999999999999"/>
    <s v="Present"/>
    <x v="1"/>
    <x v="4"/>
    <n v="8.14"/>
    <x v="0"/>
    <s v="Not Achieved"/>
    <n v="0"/>
  </r>
  <r>
    <s v="E1088"/>
    <s v="Kimberly Rodriguez"/>
    <x v="1"/>
    <x v="2"/>
    <s v="Bengaluru"/>
    <n v="34628"/>
    <n v="88"/>
    <n v="41"/>
    <n v="80953"/>
    <x v="87"/>
    <n v="9"/>
    <s v="Absent"/>
    <x v="3"/>
    <x v="3"/>
    <n v="4.5599999999999996"/>
    <x v="0"/>
    <s v="Not Achieved"/>
    <n v="1"/>
  </r>
  <r>
    <s v="E1089"/>
    <s v="Gregory Brown"/>
    <x v="3"/>
    <x v="2"/>
    <s v="Mumbai"/>
    <n v="30446"/>
    <n v="91"/>
    <n v="134"/>
    <n v="8551"/>
    <x v="88"/>
    <n v="8.6999999999999993"/>
    <s v="Present"/>
    <x v="0"/>
    <x v="5"/>
    <n v="15.4"/>
    <x v="1"/>
    <s v="Achieved"/>
    <n v="0"/>
  </r>
  <r>
    <s v="E1090"/>
    <s v="Allen Bennett"/>
    <x v="3"/>
    <x v="2"/>
    <s v="Bengaluru"/>
    <n v="31454"/>
    <n v="108"/>
    <n v="150"/>
    <n v="51867"/>
    <x v="89"/>
    <n v="6.7"/>
    <s v="Present"/>
    <x v="3"/>
    <x v="0"/>
    <n v="22.39"/>
    <x v="2"/>
    <s v="Achieved"/>
    <n v="0"/>
  </r>
  <r>
    <s v="E1091"/>
    <s v="Jacob Thomas"/>
    <x v="0"/>
    <x v="1"/>
    <s v="Hyderabad"/>
    <n v="24247"/>
    <n v="125"/>
    <n v="122"/>
    <n v="88776"/>
    <x v="90"/>
    <n v="8.3000000000000007"/>
    <s v="Absent"/>
    <x v="1"/>
    <x v="3"/>
    <n v="14.7"/>
    <x v="1"/>
    <s v="Not Achieved"/>
    <n v="1"/>
  </r>
  <r>
    <s v="E1092"/>
    <s v="Craig Jones"/>
    <x v="0"/>
    <x v="4"/>
    <s v="Pune"/>
    <n v="38309"/>
    <n v="165"/>
    <n v="126"/>
    <n v="21156"/>
    <x v="91"/>
    <n v="8.6"/>
    <s v="Present"/>
    <x v="1"/>
    <x v="1"/>
    <n v="14.65"/>
    <x v="1"/>
    <s v="Not Achieved"/>
    <n v="0"/>
  </r>
  <r>
    <s v="E1093"/>
    <s v="Carrie Reyes"/>
    <x v="3"/>
    <x v="2"/>
    <s v="Bengaluru"/>
    <n v="37344"/>
    <n v="178"/>
    <n v="179"/>
    <n v="47883"/>
    <x v="92"/>
    <n v="7.5"/>
    <s v="Absent"/>
    <x v="3"/>
    <x v="1"/>
    <n v="23.87"/>
    <x v="2"/>
    <s v="Achieved"/>
    <n v="1"/>
  </r>
  <r>
    <s v="E1094"/>
    <s v="Regina Cook"/>
    <x v="0"/>
    <x v="3"/>
    <s v="Hyderabad"/>
    <n v="50191"/>
    <n v="90"/>
    <n v="156"/>
    <n v="25794"/>
    <x v="93"/>
    <n v="8.4"/>
    <s v="Present"/>
    <x v="2"/>
    <x v="3"/>
    <n v="18.57"/>
    <x v="2"/>
    <s v="Achieved"/>
    <n v="0"/>
  </r>
  <r>
    <s v="E1095"/>
    <s v="Roger Martinez"/>
    <x v="2"/>
    <x v="2"/>
    <s v="Pune"/>
    <n v="28354"/>
    <n v="103"/>
    <n v="149"/>
    <n v="37156"/>
    <x v="94"/>
    <n v="9.6"/>
    <s v="Present"/>
    <x v="2"/>
    <x v="2"/>
    <n v="15.52"/>
    <x v="1"/>
    <s v="Achieved"/>
    <n v="0"/>
  </r>
  <r>
    <s v="E1096"/>
    <s v="Tony Jones"/>
    <x v="2"/>
    <x v="1"/>
    <s v="Hyderabad"/>
    <n v="54331"/>
    <n v="139"/>
    <n v="149"/>
    <n v="61964"/>
    <x v="95"/>
    <n v="10.8"/>
    <s v="Present"/>
    <x v="2"/>
    <x v="5"/>
    <n v="13.8"/>
    <x v="1"/>
    <s v="Achieved"/>
    <n v="0"/>
  </r>
  <r>
    <s v="E1097"/>
    <s v="Julie Moran"/>
    <x v="3"/>
    <x v="3"/>
    <s v="Chennai"/>
    <n v="53952"/>
    <n v="94"/>
    <n v="199"/>
    <n v="60147"/>
    <x v="96"/>
    <n v="5.5"/>
    <s v="Present"/>
    <x v="1"/>
    <x v="0"/>
    <n v="36.18"/>
    <x v="3"/>
    <s v="Achieved"/>
    <n v="0"/>
  </r>
  <r>
    <s v="E1098"/>
    <s v="Sherry Shannon"/>
    <x v="2"/>
    <x v="4"/>
    <s v="Chennai"/>
    <n v="44293"/>
    <n v="136"/>
    <n v="60"/>
    <n v="68688"/>
    <x v="97"/>
    <n v="7.4"/>
    <s v="Present"/>
    <x v="1"/>
    <x v="0"/>
    <n v="8.11"/>
    <x v="0"/>
    <s v="Not Achieved"/>
    <n v="0"/>
  </r>
  <r>
    <s v="E1099"/>
    <s v="Mary Cordova"/>
    <x v="0"/>
    <x v="2"/>
    <s v="Delhi"/>
    <n v="31736"/>
    <n v="106"/>
    <n v="189"/>
    <n v="59550"/>
    <x v="98"/>
    <n v="5.0999999999999996"/>
    <s v="Present"/>
    <x v="1"/>
    <x v="2"/>
    <n v="37.06"/>
    <x v="3"/>
    <s v="Achieved"/>
    <n v="0"/>
  </r>
  <r>
    <s v="E1100"/>
    <s v="Eric Rodriguez"/>
    <x v="3"/>
    <x v="0"/>
    <s v="Hyderabad"/>
    <n v="39444"/>
    <n v="116"/>
    <n v="68"/>
    <n v="41200"/>
    <x v="99"/>
    <n v="8.8000000000000007"/>
    <s v="Present"/>
    <x v="2"/>
    <x v="3"/>
    <n v="7.73"/>
    <x v="0"/>
    <s v="Not Achieved"/>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331596-C56D-444F-814B-8C7C664B524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Team">
  <location ref="A3:C8" firstHeaderRow="0" firstDataRow="1" firstDataCol="1"/>
  <pivotFields count="18">
    <pivotField showAll="0"/>
    <pivotField showAll="0"/>
    <pivotField axis="axisRow" showAll="0">
      <items count="5">
        <item x="0"/>
        <item x="3"/>
        <item x="2"/>
        <item x="1"/>
        <item t="default"/>
      </items>
    </pivotField>
    <pivotField showAll="0">
      <items count="6">
        <item x="3"/>
        <item x="4"/>
        <item x="1"/>
        <item x="2"/>
        <item x="0"/>
        <item t="default"/>
      </items>
    </pivotField>
    <pivotField showAll="0"/>
    <pivotField showAll="0"/>
    <pivotField showAll="0"/>
    <pivotField showAll="0"/>
    <pivotField dataField="1" showAll="0"/>
    <pivotField dataField="1" showAll="0"/>
    <pivotField showAll="0"/>
    <pivotField showAll="0"/>
    <pivotField showAll="0">
      <items count="5">
        <item x="0"/>
        <item x="1"/>
        <item x="2"/>
        <item x="3"/>
        <item t="default"/>
      </items>
    </pivotField>
    <pivotField showAll="0"/>
    <pivotField showAll="0"/>
    <pivotField showAll="0"/>
    <pivotField showAll="0"/>
    <pivotField showAll="0"/>
  </pivotFields>
  <rowFields count="1">
    <field x="2"/>
  </rowFields>
  <rowItems count="5">
    <i>
      <x/>
    </i>
    <i>
      <x v="1"/>
    </i>
    <i>
      <x v="2"/>
    </i>
    <i>
      <x v="3"/>
    </i>
    <i t="grand">
      <x/>
    </i>
  </rowItems>
  <colFields count="1">
    <field x="-2"/>
  </colFields>
  <colItems count="2">
    <i>
      <x/>
    </i>
    <i i="1">
      <x v="1"/>
    </i>
  </colItems>
  <dataFields count="2">
    <dataField name="Sum of Sales Amount" fld="8" baseField="0" baseItem="0"/>
    <dataField name="Sum of Collection Amount" fld="9" baseField="0" baseItem="0"/>
  </dataFields>
  <formats count="1">
    <format dxfId="14">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A2C5CD-5088-4FD4-A239-E1C9538B070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Lead Source">
  <location ref="J3:L10" firstHeaderRow="0" firstDataRow="1" firstDataCol="1"/>
  <pivotFields count="18">
    <pivotField showAll="0"/>
    <pivotField showAll="0"/>
    <pivotField showAll="0"/>
    <pivotField showAll="0"/>
    <pivotField showAll="0"/>
    <pivotField showAll="0"/>
    <pivotField showAll="0"/>
    <pivotField showAll="0"/>
    <pivotField dataField="1" showAll="0"/>
    <pivotField dataField="1" showAll="0">
      <items count="101">
        <item x="81"/>
        <item x="63"/>
        <item x="96"/>
        <item x="23"/>
        <item x="50"/>
        <item x="57"/>
        <item x="33"/>
        <item x="37"/>
        <item x="30"/>
        <item x="86"/>
        <item x="12"/>
        <item x="15"/>
        <item x="79"/>
        <item x="25"/>
        <item x="27"/>
        <item x="4"/>
        <item x="80"/>
        <item x="51"/>
        <item x="75"/>
        <item x="91"/>
        <item x="36"/>
        <item x="92"/>
        <item x="73"/>
        <item x="77"/>
        <item x="29"/>
        <item x="3"/>
        <item x="17"/>
        <item x="56"/>
        <item x="90"/>
        <item x="10"/>
        <item x="24"/>
        <item x="88"/>
        <item x="2"/>
        <item x="32"/>
        <item x="11"/>
        <item x="95"/>
        <item x="45"/>
        <item x="28"/>
        <item x="83"/>
        <item x="60"/>
        <item x="48"/>
        <item x="20"/>
        <item x="21"/>
        <item x="59"/>
        <item x="39"/>
        <item x="55"/>
        <item x="7"/>
        <item x="53"/>
        <item x="62"/>
        <item x="89"/>
        <item x="44"/>
        <item x="46"/>
        <item x="22"/>
        <item x="8"/>
        <item x="52"/>
        <item x="69"/>
        <item x="13"/>
        <item x="19"/>
        <item x="64"/>
        <item x="9"/>
        <item x="82"/>
        <item x="18"/>
        <item x="76"/>
        <item x="71"/>
        <item x="66"/>
        <item x="87"/>
        <item x="1"/>
        <item x="93"/>
        <item x="61"/>
        <item x="84"/>
        <item x="6"/>
        <item x="40"/>
        <item x="72"/>
        <item x="94"/>
        <item x="47"/>
        <item x="65"/>
        <item x="5"/>
        <item x="35"/>
        <item x="58"/>
        <item x="41"/>
        <item x="26"/>
        <item x="0"/>
        <item x="70"/>
        <item x="38"/>
        <item x="42"/>
        <item x="34"/>
        <item x="68"/>
        <item x="99"/>
        <item x="43"/>
        <item x="85"/>
        <item x="14"/>
        <item x="54"/>
        <item x="67"/>
        <item x="31"/>
        <item x="98"/>
        <item x="74"/>
        <item x="16"/>
        <item x="78"/>
        <item x="49"/>
        <item x="97"/>
        <item t="default"/>
      </items>
    </pivotField>
    <pivotField showAll="0"/>
    <pivotField showAll="0"/>
    <pivotField showAll="0">
      <items count="5">
        <item x="0"/>
        <item x="1"/>
        <item x="2"/>
        <item x="3"/>
        <item t="default"/>
      </items>
    </pivotField>
    <pivotField axis="axisRow" showAll="0">
      <items count="7">
        <item x="5"/>
        <item x="3"/>
        <item x="0"/>
        <item x="4"/>
        <item x="1"/>
        <item x="2"/>
        <item t="default"/>
      </items>
    </pivotField>
    <pivotField showAll="0"/>
    <pivotField showAll="0"/>
    <pivotField showAll="0"/>
    <pivotField showAll="0"/>
  </pivotFields>
  <rowFields count="1">
    <field x="13"/>
  </rowFields>
  <rowItems count="7">
    <i>
      <x/>
    </i>
    <i>
      <x v="1"/>
    </i>
    <i>
      <x v="2"/>
    </i>
    <i>
      <x v="3"/>
    </i>
    <i>
      <x v="4"/>
    </i>
    <i>
      <x v="5"/>
    </i>
    <i t="grand">
      <x/>
    </i>
  </rowItems>
  <colFields count="1">
    <field x="-2"/>
  </colFields>
  <colItems count="2">
    <i>
      <x/>
    </i>
    <i i="1">
      <x v="1"/>
    </i>
  </colItems>
  <dataFields count="2">
    <dataField name="Average of Sales Amount" fld="8" subtotal="average" baseField="13" baseItem="0"/>
    <dataField name="Average of Collection Amount" fld="9" subtotal="average" baseField="13" baseItem="0"/>
  </dataFields>
  <formats count="1">
    <format dxfId="15">
      <pivotArea collapsedLevelsAreSubtotals="1" fieldPosition="0">
        <references count="1">
          <reference field="13"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4F522E-EE15-4825-912E-999AD08C0AB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Efficiency ">
  <location ref="J15:K20" firstHeaderRow="1" firstDataRow="1" firstDataCol="1"/>
  <pivotFields count="18">
    <pivotField showAll="0"/>
    <pivotField dataField="1" showAll="0"/>
    <pivotField showAll="0">
      <items count="5">
        <item x="0"/>
        <item x="3"/>
        <item x="2"/>
        <item x="1"/>
        <item t="default"/>
      </items>
    </pivotField>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axis="axisRow" showAll="0">
      <items count="5">
        <item x="1"/>
        <item x="3"/>
        <item x="2"/>
        <item x="0"/>
        <item t="default"/>
      </items>
    </pivotField>
    <pivotField showAll="0"/>
    <pivotField showAll="0"/>
  </pivotFields>
  <rowFields count="1">
    <field x="15"/>
  </rowFields>
  <rowItems count="5">
    <i>
      <x/>
    </i>
    <i>
      <x v="1"/>
    </i>
    <i>
      <x v="2"/>
    </i>
    <i>
      <x v="3"/>
    </i>
    <i t="grand">
      <x/>
    </i>
  </rowItems>
  <colItems count="1">
    <i/>
  </colItems>
  <dataFields count="1">
    <dataField name="Count of Employee Name" fld="1" subtotal="count" baseField="0" baseItem="0"/>
  </dataFields>
  <chartFormats count="8">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5" count="1" selected="0">
            <x v="0"/>
          </reference>
        </references>
      </pivotArea>
    </chartFormat>
    <chartFormat chart="5" format="8">
      <pivotArea type="data" outline="0" fieldPosition="0">
        <references count="2">
          <reference field="4294967294" count="1" selected="0">
            <x v="0"/>
          </reference>
          <reference field="15" count="1" selected="0">
            <x v="1"/>
          </reference>
        </references>
      </pivotArea>
    </chartFormat>
    <chartFormat chart="5" format="9">
      <pivotArea type="data" outline="0" fieldPosition="0">
        <references count="2">
          <reference field="4294967294" count="1" selected="0">
            <x v="0"/>
          </reference>
          <reference field="15" count="1" selected="0">
            <x v="2"/>
          </reference>
        </references>
      </pivotArea>
    </chartFormat>
    <chartFormat chart="5" format="10">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4DC091-B3D4-45A0-8B00-82F921DD409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Team">
  <location ref="E15:G20" firstHeaderRow="0" firstDataRow="1" firstDataCol="1"/>
  <pivotFields count="18">
    <pivotField showAll="0"/>
    <pivotField dataField="1" showAll="0"/>
    <pivotField axis="axisRow" showAll="0">
      <items count="5">
        <item x="0"/>
        <item x="3"/>
        <item x="2"/>
        <item x="1"/>
        <item t="default"/>
      </items>
    </pivotField>
    <pivotField showAll="0"/>
    <pivotField showAll="0"/>
    <pivotField showAll="0"/>
    <pivotField showAll="0"/>
    <pivotField showAll="0"/>
    <pivotField showAll="0"/>
    <pivotField showAll="0"/>
    <pivotField showAll="0"/>
    <pivotField showAll="0"/>
    <pivotField showAll="0">
      <items count="5">
        <item x="0"/>
        <item x="1"/>
        <item x="2"/>
        <item x="3"/>
        <item t="default"/>
      </items>
    </pivotField>
    <pivotField showAll="0"/>
    <pivotField showAll="0"/>
    <pivotField showAll="0"/>
    <pivotField showAll="0"/>
    <pivotField dataField="1" showAll="0"/>
  </pivotFields>
  <rowFields count="1">
    <field x="2"/>
  </rowFields>
  <rowItems count="5">
    <i>
      <x/>
    </i>
    <i>
      <x v="1"/>
    </i>
    <i>
      <x v="2"/>
    </i>
    <i>
      <x v="3"/>
    </i>
    <i t="grand">
      <x/>
    </i>
  </rowItems>
  <colFields count="1">
    <field x="-2"/>
  </colFields>
  <colItems count="2">
    <i>
      <x/>
    </i>
    <i i="1">
      <x v="1"/>
    </i>
  </colItems>
  <dataFields count="2">
    <dataField name="Absent Employees" fld="17" baseField="0" baseItem="0"/>
    <dataField name="Count of Employee Name"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890B46-915E-42A5-AD95-CF014D6E191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hift">
  <location ref="A15:C20" firstHeaderRow="0" firstDataRow="1" firstDataCol="1"/>
  <pivotFields count="18">
    <pivotField showAll="0"/>
    <pivotField showAll="0"/>
    <pivotField showAll="0"/>
    <pivotField showAll="0"/>
    <pivotField showAll="0"/>
    <pivotField showAll="0"/>
    <pivotField showAll="0"/>
    <pivotField dataField="1" showAll="0"/>
    <pivotField dataField="1" showAll="0"/>
    <pivotField showAll="0"/>
    <pivotField showAll="0"/>
    <pivotField showAll="0"/>
    <pivotField axis="axisRow" showAll="0">
      <items count="5">
        <item x="0"/>
        <item x="1"/>
        <item x="2"/>
        <item x="3"/>
        <item t="default"/>
      </items>
    </pivotField>
    <pivotField showAll="0"/>
    <pivotField showAll="0"/>
    <pivotField showAll="0"/>
    <pivotField showAll="0"/>
    <pivotField showAll="0"/>
  </pivotFields>
  <rowFields count="1">
    <field x="12"/>
  </rowFields>
  <rowItems count="5">
    <i>
      <x/>
    </i>
    <i>
      <x v="1"/>
    </i>
    <i>
      <x v="2"/>
    </i>
    <i>
      <x v="3"/>
    </i>
    <i t="grand">
      <x/>
    </i>
  </rowItems>
  <colFields count="1">
    <field x="-2"/>
  </colFields>
  <colItems count="2">
    <i>
      <x/>
    </i>
    <i i="1">
      <x v="1"/>
    </i>
  </colItems>
  <dataFields count="2">
    <dataField name="Average of Sales Amount" fld="8" subtotal="average" baseField="12" baseItem="0"/>
    <dataField name="Average of Actual Calls" fld="7" subtotal="average" baseField="12" baseItem="0"/>
  </dataFields>
  <formats count="1">
    <format dxfId="16">
      <pivotArea collapsedLevelsAreSubtotals="1" fieldPosition="0">
        <references count="1">
          <reference field="12"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F0C7D5-D598-496A-AAE1-FB2F67A50FC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anager Name">
  <location ref="E3:G9" firstHeaderRow="0" firstDataRow="1" firstDataCol="1"/>
  <pivotFields count="18">
    <pivotField showAll="0"/>
    <pivotField showAll="0"/>
    <pivotField showAll="0"/>
    <pivotField axis="axisRow" showAll="0">
      <items count="6">
        <item x="3"/>
        <item x="4"/>
        <item x="1"/>
        <item x="2"/>
        <item x="0"/>
        <item t="default"/>
      </items>
    </pivotField>
    <pivotField showAll="0"/>
    <pivotField showAll="0"/>
    <pivotField showAll="0"/>
    <pivotField showAll="0"/>
    <pivotField dataField="1" showAll="0"/>
    <pivotField dataField="1" showAll="0"/>
    <pivotField showAll="0"/>
    <pivotField showAll="0"/>
    <pivotField showAll="0">
      <items count="5">
        <item x="0"/>
        <item x="1"/>
        <item x="2"/>
        <item x="3"/>
        <item t="default"/>
      </items>
    </pivotField>
    <pivotField showAll="0"/>
    <pivotField showAll="0"/>
    <pivotField showAll="0"/>
    <pivotField showAll="0"/>
    <pivotField showAll="0"/>
  </pivotFields>
  <rowFields count="1">
    <field x="3"/>
  </rowFields>
  <rowItems count="6">
    <i>
      <x/>
    </i>
    <i>
      <x v="1"/>
    </i>
    <i>
      <x v="2"/>
    </i>
    <i>
      <x v="3"/>
    </i>
    <i>
      <x v="4"/>
    </i>
    <i t="grand">
      <x/>
    </i>
  </rowItems>
  <colFields count="1">
    <field x="-2"/>
  </colFields>
  <colItems count="2">
    <i>
      <x/>
    </i>
    <i i="1">
      <x v="1"/>
    </i>
  </colItems>
  <dataFields count="2">
    <dataField name="Sum of Sales Amount" fld="8" baseField="0" baseItem="0"/>
    <dataField name="Sum of Collection Amount" fld="9"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1" xr10:uid="{1A703F9B-6945-49B0-A01D-8EAD711E3B06}" sourceName="Team">
  <pivotTables>
    <pivotTable tabId="2" name="PivotTable2"/>
  </pivotTables>
  <data>
    <tabular pivotCacheId="252591652">
      <items count="4">
        <i x="0" s="1"/>
        <i x="3"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1" xr10:uid="{EF0C12C2-F53F-433B-ABDA-142043E59168}" sourceName="Manager">
  <pivotTables>
    <pivotTable tabId="2" name="PivotTable2"/>
  </pivotTables>
  <data>
    <tabular pivotCacheId="252591652">
      <items count="5">
        <i x="3" s="1"/>
        <i x="4"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1" xr10:uid="{CA97B41F-E949-4444-BFF5-92777C894CCF}" sourceName="Shift">
  <pivotTables>
    <pivotTable tabId="2" name="PivotTable2"/>
    <pivotTable tabId="2" name="PivotTable3"/>
    <pivotTable tabId="2" name="PivotTable4"/>
    <pivotTable tabId="2" name="PivotTable5"/>
    <pivotTable tabId="2" name="PivotTable6"/>
    <pivotTable tabId="2" name="PivotTable8"/>
  </pivotTables>
  <data>
    <tabular pivotCacheId="252591652">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1" xr10:uid="{A342B7B0-599E-4A99-A86D-3A8C46DACECC}" cache="Slicer_Team1" caption="Team" rowHeight="234950"/>
  <slicer name="Manager 1" xr10:uid="{3E887933-5768-41D9-ACF3-59573F9FFDC7}" cache="Slicer_Manager1" caption="Manager" rowHeight="234950"/>
  <slicer name="Shift 1" xr10:uid="{C6F471BB-FE11-41F4-BF75-662039549B50}" cache="Slicer_Shift1" caption="Shif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66DC15-252B-4E0A-8B21-E1E28CEA397D}" name="Table1" displayName="Table1" ref="A1:R101" totalsRowShown="0" headerRowDxfId="19">
  <autoFilter ref="A1:R101" xr:uid="{1F66DC15-252B-4E0A-8B21-E1E28CEA397D}">
    <filterColumn colId="2">
      <filters>
        <filter val="Collection"/>
      </filters>
    </filterColumn>
  </autoFilter>
  <tableColumns count="18">
    <tableColumn id="1" xr3:uid="{0BF1DB3D-2C35-4FE4-90BB-02B389B84A6D}" name="Emp ID"/>
    <tableColumn id="2" xr3:uid="{85068C01-A8B3-441C-84C9-2A809E2BC2D6}" name="Employee Name"/>
    <tableColumn id="3" xr3:uid="{4D0B7F92-41DB-44CF-97AC-4E2BF63BE4D0}" name="Team"/>
    <tableColumn id="4" xr3:uid="{162E7054-4D34-43C3-9127-60CD87BC8C28}" name="Manager"/>
    <tableColumn id="5" xr3:uid="{7083BF26-42D7-4D57-914A-647057103ECF}" name="Location"/>
    <tableColumn id="6" xr3:uid="{B20CAD55-90E4-44E4-BF18-4E07F2541C31}" name="Salary"/>
    <tableColumn id="7" xr3:uid="{6A5DC5DB-E26A-4144-8D67-2276A2126DD4}" name="Target Calls"/>
    <tableColumn id="8" xr3:uid="{6F8F69C4-7DFC-4BA2-BE6F-48F90F19DEA3}" name="Actual Calls"/>
    <tableColumn id="9" xr3:uid="{5EF2D3D5-AAE1-4F90-A4BD-49A162DC2D1B}" name="Sales Amount"/>
    <tableColumn id="10" xr3:uid="{826E2F40-A7C1-4C17-A5B2-AAE1BF37876C}" name="Collection Amount"/>
    <tableColumn id="11" xr3:uid="{3B55BFD2-77BF-474A-8C00-A8CB27C44177}" name="Login Hours"/>
    <tableColumn id="12" xr3:uid="{823286B3-28D2-4DD1-8501-78E4B6260580}" name="Attendance Status"/>
    <tableColumn id="13" xr3:uid="{672946CE-C4A7-40BA-A1BE-FA64999C739A}" name="Shift"/>
    <tableColumn id="14" xr3:uid="{AF7AC9B9-AC75-4716-861B-B9A75CB552A6}" name="Lead Source"/>
    <tableColumn id="15" xr3:uid="{B87E015B-24EE-4638-ABD2-7F53B94C8748}" name="Efficiency Score"/>
    <tableColumn id="16" xr3:uid="{E4C7DFDB-E1A3-4F44-916C-BED5A5120B84}" name="Efficiency Status"/>
    <tableColumn id="17" xr3:uid="{5F25E94A-356D-4C4C-BAEC-B601DB33F29B}" name="Calls Target Status" dataDxfId="18">
      <calculatedColumnFormula>IF(Table1[[#This Row],[Actual Calls]]&gt;=Table1[[#This Row],[Target Calls]],"Achieved","Not Achieved")</calculatedColumnFormula>
    </tableColumn>
    <tableColumn id="18" xr3:uid="{CDE270A8-1A3C-4617-9906-67C890C49F65}" name="Absent Number" dataDxfId="17">
      <calculatedColumnFormula>IF(Table1[[#This Row],[Attendance Status]]="Absent",1,0)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878E8-517F-430E-87F4-3F57595B5DAE}">
  <dimension ref="A1:P101"/>
  <sheetViews>
    <sheetView topLeftCell="A77" workbookViewId="0">
      <selection activeCell="P1" sqref="P1:P101"/>
    </sheetView>
  </sheetViews>
  <sheetFormatPr defaultRowHeight="14.4" x14ac:dyDescent="0.3"/>
  <cols>
    <col min="15" max="15" width="14.33203125" bestFit="1" customWidth="1"/>
  </cols>
  <sheetData>
    <row r="1" spans="1:16" ht="15" thickBot="1" x14ac:dyDescent="0.35">
      <c r="A1" s="9" t="s">
        <v>0</v>
      </c>
      <c r="B1" s="10"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row>
    <row r="2" spans="1:16" ht="15" thickTop="1" x14ac:dyDescent="0.3">
      <c r="A2" s="2" t="s">
        <v>16</v>
      </c>
      <c r="B2" s="3" t="s">
        <v>17</v>
      </c>
      <c r="C2" s="3" t="s">
        <v>18</v>
      </c>
      <c r="D2" s="3" t="s">
        <v>19</v>
      </c>
      <c r="E2" s="3" t="s">
        <v>20</v>
      </c>
      <c r="F2" s="3">
        <v>43370</v>
      </c>
      <c r="G2" s="3">
        <v>164</v>
      </c>
      <c r="H2" s="3">
        <v>77</v>
      </c>
      <c r="I2" s="3">
        <v>38796</v>
      </c>
      <c r="J2" s="3">
        <v>56762</v>
      </c>
      <c r="K2" s="3">
        <v>8.9</v>
      </c>
      <c r="L2" s="3" t="s">
        <v>21</v>
      </c>
      <c r="M2" s="3" t="s">
        <v>22</v>
      </c>
      <c r="N2" s="3" t="s">
        <v>23</v>
      </c>
      <c r="O2" s="3">
        <v>8.65</v>
      </c>
      <c r="P2" s="3" t="s">
        <v>24</v>
      </c>
    </row>
    <row r="3" spans="1:16" x14ac:dyDescent="0.3">
      <c r="A3" s="4" t="s">
        <v>25</v>
      </c>
      <c r="B3" s="5" t="s">
        <v>26</v>
      </c>
      <c r="C3" s="5" t="s">
        <v>27</v>
      </c>
      <c r="D3" s="5" t="s">
        <v>28</v>
      </c>
      <c r="E3" s="5" t="s">
        <v>29</v>
      </c>
      <c r="F3" s="5">
        <v>47709</v>
      </c>
      <c r="G3" s="5">
        <v>146</v>
      </c>
      <c r="H3" s="5">
        <v>44</v>
      </c>
      <c r="I3" s="5">
        <v>67281</v>
      </c>
      <c r="J3" s="5">
        <v>43577</v>
      </c>
      <c r="K3" s="5">
        <v>10.7</v>
      </c>
      <c r="L3" s="5" t="s">
        <v>21</v>
      </c>
      <c r="M3" s="5" t="s">
        <v>22</v>
      </c>
      <c r="N3" s="5" t="s">
        <v>30</v>
      </c>
      <c r="O3" s="5">
        <v>4.1100000000000003</v>
      </c>
      <c r="P3" s="5" t="s">
        <v>24</v>
      </c>
    </row>
    <row r="4" spans="1:16" x14ac:dyDescent="0.3">
      <c r="A4" s="2" t="s">
        <v>31</v>
      </c>
      <c r="B4" s="3" t="s">
        <v>32</v>
      </c>
      <c r="C4" s="3" t="s">
        <v>18</v>
      </c>
      <c r="D4" s="3" t="s">
        <v>33</v>
      </c>
      <c r="E4" s="3" t="s">
        <v>29</v>
      </c>
      <c r="F4" s="3">
        <v>47458</v>
      </c>
      <c r="G4" s="3">
        <v>145</v>
      </c>
      <c r="H4" s="3">
        <v>102</v>
      </c>
      <c r="I4" s="3">
        <v>65504</v>
      </c>
      <c r="J4" s="3">
        <v>21293</v>
      </c>
      <c r="K4" s="3">
        <v>8.1</v>
      </c>
      <c r="L4" s="3" t="s">
        <v>21</v>
      </c>
      <c r="M4" s="3" t="s">
        <v>34</v>
      </c>
      <c r="N4" s="3" t="s">
        <v>30</v>
      </c>
      <c r="O4" s="3">
        <v>12.59</v>
      </c>
      <c r="P4" s="3" t="s">
        <v>35</v>
      </c>
    </row>
    <row r="5" spans="1:16" x14ac:dyDescent="0.3">
      <c r="A5" s="4" t="s">
        <v>36</v>
      </c>
      <c r="B5" s="5" t="s">
        <v>37</v>
      </c>
      <c r="C5" s="5" t="s">
        <v>27</v>
      </c>
      <c r="D5" s="5" t="s">
        <v>19</v>
      </c>
      <c r="E5" s="5" t="s">
        <v>38</v>
      </c>
      <c r="F5" s="5">
        <v>41745</v>
      </c>
      <c r="G5" s="5">
        <v>136</v>
      </c>
      <c r="H5" s="5">
        <v>128</v>
      </c>
      <c r="I5" s="5">
        <v>16486</v>
      </c>
      <c r="J5" s="5">
        <v>18586</v>
      </c>
      <c r="K5" s="5">
        <v>9.6999999999999993</v>
      </c>
      <c r="L5" s="5" t="s">
        <v>21</v>
      </c>
      <c r="M5" s="5" t="s">
        <v>22</v>
      </c>
      <c r="N5" s="5" t="s">
        <v>23</v>
      </c>
      <c r="O5" s="5">
        <v>13.2</v>
      </c>
      <c r="P5" s="5" t="s">
        <v>35</v>
      </c>
    </row>
    <row r="6" spans="1:16" x14ac:dyDescent="0.3">
      <c r="A6" s="2" t="s">
        <v>39</v>
      </c>
      <c r="B6" s="3" t="s">
        <v>40</v>
      </c>
      <c r="C6" s="3" t="s">
        <v>27</v>
      </c>
      <c r="D6" s="3" t="s">
        <v>28</v>
      </c>
      <c r="E6" s="3" t="s">
        <v>38</v>
      </c>
      <c r="F6" s="3">
        <v>52337</v>
      </c>
      <c r="G6" s="3">
        <v>110</v>
      </c>
      <c r="H6" s="3">
        <v>137</v>
      </c>
      <c r="I6" s="3">
        <v>73806</v>
      </c>
      <c r="J6" s="3">
        <v>10387</v>
      </c>
      <c r="K6" s="3">
        <v>10.5</v>
      </c>
      <c r="L6" s="3" t="s">
        <v>21</v>
      </c>
      <c r="M6" s="3" t="s">
        <v>41</v>
      </c>
      <c r="N6" s="3" t="s">
        <v>23</v>
      </c>
      <c r="O6" s="3">
        <v>13.05</v>
      </c>
      <c r="P6" s="3" t="s">
        <v>35</v>
      </c>
    </row>
    <row r="7" spans="1:16" x14ac:dyDescent="0.3">
      <c r="A7" s="4" t="s">
        <v>42</v>
      </c>
      <c r="B7" s="5" t="s">
        <v>43</v>
      </c>
      <c r="C7" s="5" t="s">
        <v>44</v>
      </c>
      <c r="D7" s="5" t="s">
        <v>45</v>
      </c>
      <c r="E7" s="5" t="s">
        <v>38</v>
      </c>
      <c r="F7" s="5">
        <v>36118</v>
      </c>
      <c r="G7" s="5">
        <v>121</v>
      </c>
      <c r="H7" s="5">
        <v>73</v>
      </c>
      <c r="I7" s="5">
        <v>84947</v>
      </c>
      <c r="J7" s="5">
        <v>51169</v>
      </c>
      <c r="K7" s="5">
        <v>5.8</v>
      </c>
      <c r="L7" s="5" t="s">
        <v>46</v>
      </c>
      <c r="M7" s="5" t="s">
        <v>22</v>
      </c>
      <c r="N7" s="5" t="s">
        <v>47</v>
      </c>
      <c r="O7" s="5">
        <v>12.59</v>
      </c>
      <c r="P7" s="5" t="s">
        <v>35</v>
      </c>
    </row>
    <row r="8" spans="1:16" x14ac:dyDescent="0.3">
      <c r="A8" s="2" t="s">
        <v>48</v>
      </c>
      <c r="B8" s="3" t="s">
        <v>49</v>
      </c>
      <c r="C8" s="3" t="s">
        <v>27</v>
      </c>
      <c r="D8" s="3" t="s">
        <v>33</v>
      </c>
      <c r="E8" s="3" t="s">
        <v>20</v>
      </c>
      <c r="F8" s="3">
        <v>38171</v>
      </c>
      <c r="G8" s="3">
        <v>121</v>
      </c>
      <c r="H8" s="3">
        <v>165</v>
      </c>
      <c r="I8" s="3">
        <v>58681</v>
      </c>
      <c r="J8" s="3">
        <v>47077</v>
      </c>
      <c r="K8" s="3">
        <v>7.3</v>
      </c>
      <c r="L8" s="3" t="s">
        <v>46</v>
      </c>
      <c r="M8" s="3" t="s">
        <v>41</v>
      </c>
      <c r="N8" s="3" t="s">
        <v>50</v>
      </c>
      <c r="O8" s="3">
        <v>22.6</v>
      </c>
      <c r="P8" s="3" t="s">
        <v>51</v>
      </c>
    </row>
    <row r="9" spans="1:16" x14ac:dyDescent="0.3">
      <c r="A9" s="4" t="s">
        <v>52</v>
      </c>
      <c r="B9" s="5" t="s">
        <v>53</v>
      </c>
      <c r="C9" s="5" t="s">
        <v>44</v>
      </c>
      <c r="D9" s="5" t="s">
        <v>54</v>
      </c>
      <c r="E9" s="5" t="s">
        <v>55</v>
      </c>
      <c r="F9" s="5">
        <v>33772</v>
      </c>
      <c r="G9" s="5">
        <v>155</v>
      </c>
      <c r="H9" s="5">
        <v>123</v>
      </c>
      <c r="I9" s="5">
        <v>26495</v>
      </c>
      <c r="J9" s="5">
        <v>27017</v>
      </c>
      <c r="K9" s="5">
        <v>6.3</v>
      </c>
      <c r="L9" s="5" t="s">
        <v>21</v>
      </c>
      <c r="M9" s="5" t="s">
        <v>34</v>
      </c>
      <c r="N9" s="5" t="s">
        <v>30</v>
      </c>
      <c r="O9" s="5">
        <v>19.52</v>
      </c>
      <c r="P9" s="5" t="s">
        <v>51</v>
      </c>
    </row>
    <row r="10" spans="1:16" x14ac:dyDescent="0.3">
      <c r="A10" s="2" t="s">
        <v>56</v>
      </c>
      <c r="B10" s="3" t="s">
        <v>57</v>
      </c>
      <c r="C10" s="3" t="s">
        <v>18</v>
      </c>
      <c r="D10" s="3" t="s">
        <v>54</v>
      </c>
      <c r="E10" s="3" t="s">
        <v>20</v>
      </c>
      <c r="F10" s="3">
        <v>51644</v>
      </c>
      <c r="G10" s="3">
        <v>94</v>
      </c>
      <c r="H10" s="3">
        <v>167</v>
      </c>
      <c r="I10" s="3">
        <v>19675</v>
      </c>
      <c r="J10" s="3">
        <v>33643</v>
      </c>
      <c r="K10" s="3">
        <v>7.7</v>
      </c>
      <c r="L10" s="3" t="s">
        <v>46</v>
      </c>
      <c r="M10" s="3" t="s">
        <v>22</v>
      </c>
      <c r="N10" s="3" t="s">
        <v>58</v>
      </c>
      <c r="O10" s="3">
        <v>21.69</v>
      </c>
      <c r="P10" s="3" t="s">
        <v>51</v>
      </c>
    </row>
    <row r="11" spans="1:16" x14ac:dyDescent="0.3">
      <c r="A11" s="4" t="s">
        <v>59</v>
      </c>
      <c r="B11" s="5" t="s">
        <v>60</v>
      </c>
      <c r="C11" s="5" t="s">
        <v>18</v>
      </c>
      <c r="D11" s="5" t="s">
        <v>19</v>
      </c>
      <c r="E11" s="5" t="s">
        <v>61</v>
      </c>
      <c r="F11" s="5">
        <v>43215</v>
      </c>
      <c r="G11" s="5">
        <v>145</v>
      </c>
      <c r="H11" s="5">
        <v>114</v>
      </c>
      <c r="I11" s="5">
        <v>58055</v>
      </c>
      <c r="J11" s="5">
        <v>37213</v>
      </c>
      <c r="K11" s="5">
        <v>5.4</v>
      </c>
      <c r="L11" s="5" t="s">
        <v>21</v>
      </c>
      <c r="M11" s="5" t="s">
        <v>34</v>
      </c>
      <c r="N11" s="5" t="s">
        <v>62</v>
      </c>
      <c r="O11" s="5">
        <v>21.11</v>
      </c>
      <c r="P11" s="5" t="s">
        <v>51</v>
      </c>
    </row>
    <row r="12" spans="1:16" x14ac:dyDescent="0.3">
      <c r="A12" s="2" t="s">
        <v>63</v>
      </c>
      <c r="B12" s="3" t="s">
        <v>64</v>
      </c>
      <c r="C12" s="3" t="s">
        <v>65</v>
      </c>
      <c r="D12" s="3" t="s">
        <v>28</v>
      </c>
      <c r="E12" s="3" t="s">
        <v>61</v>
      </c>
      <c r="F12" s="3">
        <v>26214</v>
      </c>
      <c r="G12" s="3">
        <v>175</v>
      </c>
      <c r="H12" s="3">
        <v>104</v>
      </c>
      <c r="I12" s="3">
        <v>23112</v>
      </c>
      <c r="J12" s="3">
        <v>20169</v>
      </c>
      <c r="K12" s="3">
        <v>10.4</v>
      </c>
      <c r="L12" s="3" t="s">
        <v>21</v>
      </c>
      <c r="M12" s="3" t="s">
        <v>41</v>
      </c>
      <c r="N12" s="3" t="s">
        <v>47</v>
      </c>
      <c r="O12" s="3">
        <v>10</v>
      </c>
      <c r="P12" s="3" t="s">
        <v>35</v>
      </c>
    </row>
    <row r="13" spans="1:16" x14ac:dyDescent="0.3">
      <c r="A13" s="4" t="s">
        <v>66</v>
      </c>
      <c r="B13" s="5" t="s">
        <v>67</v>
      </c>
      <c r="C13" s="5" t="s">
        <v>18</v>
      </c>
      <c r="D13" s="5" t="s">
        <v>45</v>
      </c>
      <c r="E13" s="5" t="s">
        <v>20</v>
      </c>
      <c r="F13" s="5">
        <v>50611</v>
      </c>
      <c r="G13" s="5">
        <v>93</v>
      </c>
      <c r="H13" s="5">
        <v>83</v>
      </c>
      <c r="I13" s="5">
        <v>73356</v>
      </c>
      <c r="J13" s="5">
        <v>21990</v>
      </c>
      <c r="K13" s="5">
        <v>8</v>
      </c>
      <c r="L13" s="5" t="s">
        <v>21</v>
      </c>
      <c r="M13" s="5" t="s">
        <v>34</v>
      </c>
      <c r="N13" s="5" t="s">
        <v>30</v>
      </c>
      <c r="O13" s="5">
        <v>10.38</v>
      </c>
      <c r="P13" s="5" t="s">
        <v>35</v>
      </c>
    </row>
    <row r="14" spans="1:16" x14ac:dyDescent="0.3">
      <c r="A14" s="2" t="s">
        <v>68</v>
      </c>
      <c r="B14" s="3" t="s">
        <v>69</v>
      </c>
      <c r="C14" s="3" t="s">
        <v>65</v>
      </c>
      <c r="D14" s="3" t="s">
        <v>33</v>
      </c>
      <c r="E14" s="3" t="s">
        <v>70</v>
      </c>
      <c r="F14" s="3">
        <v>23439</v>
      </c>
      <c r="G14" s="3">
        <v>88</v>
      </c>
      <c r="H14" s="3">
        <v>48</v>
      </c>
      <c r="I14" s="3">
        <v>46363</v>
      </c>
      <c r="J14" s="3">
        <v>9469</v>
      </c>
      <c r="K14" s="3">
        <v>9</v>
      </c>
      <c r="L14" s="3" t="s">
        <v>21</v>
      </c>
      <c r="M14" s="3" t="s">
        <v>41</v>
      </c>
      <c r="N14" s="3" t="s">
        <v>50</v>
      </c>
      <c r="O14" s="3">
        <v>5.33</v>
      </c>
      <c r="P14" s="3" t="s">
        <v>24</v>
      </c>
    </row>
    <row r="15" spans="1:16" x14ac:dyDescent="0.3">
      <c r="A15" s="4" t="s">
        <v>71</v>
      </c>
      <c r="B15" s="5" t="s">
        <v>72</v>
      </c>
      <c r="C15" s="5" t="s">
        <v>44</v>
      </c>
      <c r="D15" s="5" t="s">
        <v>54</v>
      </c>
      <c r="E15" s="5" t="s">
        <v>29</v>
      </c>
      <c r="F15" s="5">
        <v>51301</v>
      </c>
      <c r="G15" s="5">
        <v>167</v>
      </c>
      <c r="H15" s="5">
        <v>176</v>
      </c>
      <c r="I15" s="5">
        <v>83102</v>
      </c>
      <c r="J15" s="5">
        <v>36074</v>
      </c>
      <c r="K15" s="5">
        <v>10.8</v>
      </c>
      <c r="L15" s="5" t="s">
        <v>46</v>
      </c>
      <c r="M15" s="5" t="s">
        <v>73</v>
      </c>
      <c r="N15" s="5" t="s">
        <v>50</v>
      </c>
      <c r="O15" s="5">
        <v>16.3</v>
      </c>
      <c r="P15" s="5" t="s">
        <v>35</v>
      </c>
    </row>
    <row r="16" spans="1:16" x14ac:dyDescent="0.3">
      <c r="A16" s="2" t="s">
        <v>74</v>
      </c>
      <c r="B16" s="3" t="s">
        <v>75</v>
      </c>
      <c r="C16" s="3" t="s">
        <v>18</v>
      </c>
      <c r="D16" s="3" t="s">
        <v>54</v>
      </c>
      <c r="E16" s="3" t="s">
        <v>70</v>
      </c>
      <c r="F16" s="3">
        <v>42661</v>
      </c>
      <c r="G16" s="3">
        <v>118</v>
      </c>
      <c r="H16" s="3">
        <v>62</v>
      </c>
      <c r="I16" s="3">
        <v>7203</v>
      </c>
      <c r="J16" s="3">
        <v>65096</v>
      </c>
      <c r="K16" s="3">
        <v>5</v>
      </c>
      <c r="L16" s="3" t="s">
        <v>21</v>
      </c>
      <c r="M16" s="3" t="s">
        <v>22</v>
      </c>
      <c r="N16" s="3" t="s">
        <v>47</v>
      </c>
      <c r="O16" s="3">
        <v>12.4</v>
      </c>
      <c r="P16" s="3" t="s">
        <v>35</v>
      </c>
    </row>
    <row r="17" spans="1:16" x14ac:dyDescent="0.3">
      <c r="A17" s="4" t="s">
        <v>76</v>
      </c>
      <c r="B17" s="5" t="s">
        <v>77</v>
      </c>
      <c r="C17" s="5" t="s">
        <v>18</v>
      </c>
      <c r="D17" s="5" t="s">
        <v>19</v>
      </c>
      <c r="E17" s="5" t="s">
        <v>55</v>
      </c>
      <c r="F17" s="5">
        <v>35528</v>
      </c>
      <c r="G17" s="5">
        <v>139</v>
      </c>
      <c r="H17" s="5">
        <v>157</v>
      </c>
      <c r="I17" s="5">
        <v>81852</v>
      </c>
      <c r="J17" s="5">
        <v>9813</v>
      </c>
      <c r="K17" s="5">
        <v>5.5</v>
      </c>
      <c r="L17" s="5" t="s">
        <v>21</v>
      </c>
      <c r="M17" s="5" t="s">
        <v>73</v>
      </c>
      <c r="N17" s="5" t="s">
        <v>47</v>
      </c>
      <c r="O17" s="5">
        <v>28.55</v>
      </c>
      <c r="P17" s="5" t="s">
        <v>78</v>
      </c>
    </row>
    <row r="18" spans="1:16" x14ac:dyDescent="0.3">
      <c r="A18" s="2" t="s">
        <v>79</v>
      </c>
      <c r="B18" s="3" t="s">
        <v>80</v>
      </c>
      <c r="C18" s="3" t="s">
        <v>44</v>
      </c>
      <c r="D18" s="3" t="s">
        <v>54</v>
      </c>
      <c r="E18" s="3" t="s">
        <v>38</v>
      </c>
      <c r="F18" s="3">
        <v>26588</v>
      </c>
      <c r="G18" s="3">
        <v>113</v>
      </c>
      <c r="H18" s="3">
        <v>70</v>
      </c>
      <c r="I18" s="3">
        <v>21558</v>
      </c>
      <c r="J18" s="3">
        <v>67387</v>
      </c>
      <c r="K18" s="3">
        <v>6.6</v>
      </c>
      <c r="L18" s="3" t="s">
        <v>21</v>
      </c>
      <c r="M18" s="3" t="s">
        <v>22</v>
      </c>
      <c r="N18" s="3" t="s">
        <v>58</v>
      </c>
      <c r="O18" s="3">
        <v>10.61</v>
      </c>
      <c r="P18" s="3" t="s">
        <v>35</v>
      </c>
    </row>
    <row r="19" spans="1:16" x14ac:dyDescent="0.3">
      <c r="A19" s="4" t="s">
        <v>81</v>
      </c>
      <c r="B19" s="5" t="s">
        <v>82</v>
      </c>
      <c r="C19" s="5" t="s">
        <v>27</v>
      </c>
      <c r="D19" s="5" t="s">
        <v>28</v>
      </c>
      <c r="E19" s="5" t="s">
        <v>20</v>
      </c>
      <c r="F19" s="5">
        <v>39494</v>
      </c>
      <c r="G19" s="5">
        <v>132</v>
      </c>
      <c r="H19" s="5">
        <v>146</v>
      </c>
      <c r="I19" s="5">
        <v>86177</v>
      </c>
      <c r="J19" s="5">
        <v>19053</v>
      </c>
      <c r="K19" s="5">
        <v>4.9000000000000004</v>
      </c>
      <c r="L19" s="5" t="s">
        <v>21</v>
      </c>
      <c r="M19" s="5" t="s">
        <v>22</v>
      </c>
      <c r="N19" s="5" t="s">
        <v>30</v>
      </c>
      <c r="O19" s="5">
        <v>29.8</v>
      </c>
      <c r="P19" s="5" t="s">
        <v>78</v>
      </c>
    </row>
    <row r="20" spans="1:16" x14ac:dyDescent="0.3">
      <c r="A20" s="2" t="s">
        <v>83</v>
      </c>
      <c r="B20" s="3" t="s">
        <v>84</v>
      </c>
      <c r="C20" s="3" t="s">
        <v>18</v>
      </c>
      <c r="D20" s="3" t="s">
        <v>28</v>
      </c>
      <c r="E20" s="3" t="s">
        <v>38</v>
      </c>
      <c r="F20" s="3">
        <v>41687</v>
      </c>
      <c r="G20" s="3">
        <v>163</v>
      </c>
      <c r="H20" s="3">
        <v>106</v>
      </c>
      <c r="I20" s="3">
        <v>28563</v>
      </c>
      <c r="J20" s="3">
        <v>37965</v>
      </c>
      <c r="K20" s="3">
        <v>9.8000000000000007</v>
      </c>
      <c r="L20" s="3" t="s">
        <v>21</v>
      </c>
      <c r="M20" s="3" t="s">
        <v>73</v>
      </c>
      <c r="N20" s="3" t="s">
        <v>30</v>
      </c>
      <c r="O20" s="3">
        <v>10.82</v>
      </c>
      <c r="P20" s="3" t="s">
        <v>35</v>
      </c>
    </row>
    <row r="21" spans="1:16" x14ac:dyDescent="0.3">
      <c r="A21" s="4" t="s">
        <v>85</v>
      </c>
      <c r="B21" s="5" t="s">
        <v>86</v>
      </c>
      <c r="C21" s="5" t="s">
        <v>27</v>
      </c>
      <c r="D21" s="5" t="s">
        <v>45</v>
      </c>
      <c r="E21" s="5" t="s">
        <v>29</v>
      </c>
      <c r="F21" s="5">
        <v>42126</v>
      </c>
      <c r="G21" s="5">
        <v>163</v>
      </c>
      <c r="H21" s="5">
        <v>169</v>
      </c>
      <c r="I21" s="5">
        <v>27745</v>
      </c>
      <c r="J21" s="5">
        <v>36812</v>
      </c>
      <c r="K21" s="5">
        <v>10.9</v>
      </c>
      <c r="L21" s="5" t="s">
        <v>46</v>
      </c>
      <c r="M21" s="5" t="s">
        <v>41</v>
      </c>
      <c r="N21" s="5" t="s">
        <v>23</v>
      </c>
      <c r="O21" s="5">
        <v>15.5</v>
      </c>
      <c r="P21" s="5" t="s">
        <v>35</v>
      </c>
    </row>
    <row r="22" spans="1:16" x14ac:dyDescent="0.3">
      <c r="A22" s="2" t="s">
        <v>87</v>
      </c>
      <c r="B22" s="3" t="s">
        <v>88</v>
      </c>
      <c r="C22" s="3" t="s">
        <v>44</v>
      </c>
      <c r="D22" s="3" t="s">
        <v>33</v>
      </c>
      <c r="E22" s="3" t="s">
        <v>61</v>
      </c>
      <c r="F22" s="3">
        <v>35496</v>
      </c>
      <c r="G22" s="3">
        <v>180</v>
      </c>
      <c r="H22" s="3">
        <v>138</v>
      </c>
      <c r="I22" s="3">
        <v>42130</v>
      </c>
      <c r="J22" s="3">
        <v>26066</v>
      </c>
      <c r="K22" s="3">
        <v>10</v>
      </c>
      <c r="L22" s="3" t="s">
        <v>21</v>
      </c>
      <c r="M22" s="3" t="s">
        <v>73</v>
      </c>
      <c r="N22" s="3" t="s">
        <v>30</v>
      </c>
      <c r="O22" s="3">
        <v>13.8</v>
      </c>
      <c r="P22" s="3" t="s">
        <v>35</v>
      </c>
    </row>
    <row r="23" spans="1:16" x14ac:dyDescent="0.3">
      <c r="A23" s="4" t="s">
        <v>89</v>
      </c>
      <c r="B23" s="5" t="s">
        <v>90</v>
      </c>
      <c r="C23" s="5" t="s">
        <v>27</v>
      </c>
      <c r="D23" s="5" t="s">
        <v>19</v>
      </c>
      <c r="E23" s="5" t="s">
        <v>20</v>
      </c>
      <c r="F23" s="5">
        <v>44244</v>
      </c>
      <c r="G23" s="5">
        <v>166</v>
      </c>
      <c r="H23" s="5">
        <v>99</v>
      </c>
      <c r="I23" s="5">
        <v>29910</v>
      </c>
      <c r="J23" s="5">
        <v>26221</v>
      </c>
      <c r="K23" s="5">
        <v>9.6999999999999993</v>
      </c>
      <c r="L23" s="5" t="s">
        <v>21</v>
      </c>
      <c r="M23" s="5" t="s">
        <v>73</v>
      </c>
      <c r="N23" s="5" t="s">
        <v>62</v>
      </c>
      <c r="O23" s="5">
        <v>10.210000000000001</v>
      </c>
      <c r="P23" s="5" t="s">
        <v>35</v>
      </c>
    </row>
    <row r="24" spans="1:16" x14ac:dyDescent="0.3">
      <c r="A24" s="2" t="s">
        <v>91</v>
      </c>
      <c r="B24" s="3" t="s">
        <v>92</v>
      </c>
      <c r="C24" s="3" t="s">
        <v>27</v>
      </c>
      <c r="D24" s="3" t="s">
        <v>19</v>
      </c>
      <c r="E24" s="3" t="s">
        <v>20</v>
      </c>
      <c r="F24" s="3">
        <v>35609</v>
      </c>
      <c r="G24" s="3">
        <v>107</v>
      </c>
      <c r="H24" s="3">
        <v>46</v>
      </c>
      <c r="I24" s="3">
        <v>84973</v>
      </c>
      <c r="J24" s="3">
        <v>33500</v>
      </c>
      <c r="K24" s="3">
        <v>8.6</v>
      </c>
      <c r="L24" s="3" t="s">
        <v>46</v>
      </c>
      <c r="M24" s="3" t="s">
        <v>34</v>
      </c>
      <c r="N24" s="3" t="s">
        <v>47</v>
      </c>
      <c r="O24" s="3">
        <v>5.35</v>
      </c>
      <c r="P24" s="3" t="s">
        <v>24</v>
      </c>
    </row>
    <row r="25" spans="1:16" x14ac:dyDescent="0.3">
      <c r="A25" s="4" t="s">
        <v>93</v>
      </c>
      <c r="B25" s="5" t="s">
        <v>94</v>
      </c>
      <c r="C25" s="5" t="s">
        <v>65</v>
      </c>
      <c r="D25" s="5" t="s">
        <v>28</v>
      </c>
      <c r="E25" s="5" t="s">
        <v>61</v>
      </c>
      <c r="F25" s="5">
        <v>26718</v>
      </c>
      <c r="G25" s="5">
        <v>135</v>
      </c>
      <c r="H25" s="5">
        <v>99</v>
      </c>
      <c r="I25" s="5">
        <v>43981</v>
      </c>
      <c r="J25" s="5">
        <v>4865</v>
      </c>
      <c r="K25" s="5">
        <v>5.8</v>
      </c>
      <c r="L25" s="5" t="s">
        <v>21</v>
      </c>
      <c r="M25" s="5" t="s">
        <v>41</v>
      </c>
      <c r="N25" s="5" t="s">
        <v>30</v>
      </c>
      <c r="O25" s="5">
        <v>17.07</v>
      </c>
      <c r="P25" s="5" t="s">
        <v>35</v>
      </c>
    </row>
    <row r="26" spans="1:16" x14ac:dyDescent="0.3">
      <c r="A26" s="2" t="s">
        <v>95</v>
      </c>
      <c r="B26" s="3" t="s">
        <v>96</v>
      </c>
      <c r="C26" s="3" t="s">
        <v>18</v>
      </c>
      <c r="D26" s="3" t="s">
        <v>19</v>
      </c>
      <c r="E26" s="3" t="s">
        <v>38</v>
      </c>
      <c r="F26" s="3">
        <v>26864</v>
      </c>
      <c r="G26" s="3">
        <v>124</v>
      </c>
      <c r="H26" s="3">
        <v>139</v>
      </c>
      <c r="I26" s="3">
        <v>39806</v>
      </c>
      <c r="J26" s="3">
        <v>20846</v>
      </c>
      <c r="K26" s="3">
        <v>10.4</v>
      </c>
      <c r="L26" s="3" t="s">
        <v>46</v>
      </c>
      <c r="M26" s="3" t="s">
        <v>34</v>
      </c>
      <c r="N26" s="3" t="s">
        <v>30</v>
      </c>
      <c r="O26" s="3">
        <v>13.37</v>
      </c>
      <c r="P26" s="3" t="s">
        <v>35</v>
      </c>
    </row>
    <row r="27" spans="1:16" x14ac:dyDescent="0.3">
      <c r="A27" s="4" t="s">
        <v>97</v>
      </c>
      <c r="B27" s="5" t="s">
        <v>98</v>
      </c>
      <c r="C27" s="5" t="s">
        <v>44</v>
      </c>
      <c r="D27" s="5" t="s">
        <v>45</v>
      </c>
      <c r="E27" s="5" t="s">
        <v>55</v>
      </c>
      <c r="F27" s="5">
        <v>48801</v>
      </c>
      <c r="G27" s="5">
        <v>93</v>
      </c>
      <c r="H27" s="5">
        <v>86</v>
      </c>
      <c r="I27" s="5">
        <v>72548</v>
      </c>
      <c r="J27" s="5">
        <v>10170</v>
      </c>
      <c r="K27" s="5">
        <v>6.4</v>
      </c>
      <c r="L27" s="5" t="s">
        <v>21</v>
      </c>
      <c r="M27" s="5" t="s">
        <v>41</v>
      </c>
      <c r="N27" s="5" t="s">
        <v>50</v>
      </c>
      <c r="O27" s="5">
        <v>13.44</v>
      </c>
      <c r="P27" s="5" t="s">
        <v>35</v>
      </c>
    </row>
    <row r="28" spans="1:16" x14ac:dyDescent="0.3">
      <c r="A28" s="2" t="s">
        <v>99</v>
      </c>
      <c r="B28" s="3" t="s">
        <v>100</v>
      </c>
      <c r="C28" s="3" t="s">
        <v>27</v>
      </c>
      <c r="D28" s="3" t="s">
        <v>19</v>
      </c>
      <c r="E28" s="3" t="s">
        <v>70</v>
      </c>
      <c r="F28" s="3">
        <v>27836</v>
      </c>
      <c r="G28" s="3">
        <v>145</v>
      </c>
      <c r="H28" s="3">
        <v>91</v>
      </c>
      <c r="I28" s="3">
        <v>77073</v>
      </c>
      <c r="J28" s="3">
        <v>56146</v>
      </c>
      <c r="K28" s="3">
        <v>10.5</v>
      </c>
      <c r="L28" s="3" t="s">
        <v>21</v>
      </c>
      <c r="M28" s="3" t="s">
        <v>41</v>
      </c>
      <c r="N28" s="3" t="s">
        <v>62</v>
      </c>
      <c r="O28" s="3">
        <v>8.67</v>
      </c>
      <c r="P28" s="3" t="s">
        <v>24</v>
      </c>
    </row>
    <row r="29" spans="1:16" x14ac:dyDescent="0.3">
      <c r="A29" s="4" t="s">
        <v>101</v>
      </c>
      <c r="B29" s="5" t="s">
        <v>102</v>
      </c>
      <c r="C29" s="5" t="s">
        <v>18</v>
      </c>
      <c r="D29" s="5" t="s">
        <v>33</v>
      </c>
      <c r="E29" s="5" t="s">
        <v>55</v>
      </c>
      <c r="F29" s="5">
        <v>24017</v>
      </c>
      <c r="G29" s="5">
        <v>156</v>
      </c>
      <c r="H29" s="5">
        <v>101</v>
      </c>
      <c r="I29" s="5">
        <v>83754</v>
      </c>
      <c r="J29" s="5">
        <v>10270</v>
      </c>
      <c r="K29" s="5">
        <v>7.2</v>
      </c>
      <c r="L29" s="5" t="s">
        <v>21</v>
      </c>
      <c r="M29" s="5" t="s">
        <v>41</v>
      </c>
      <c r="N29" s="5" t="s">
        <v>23</v>
      </c>
      <c r="O29" s="5">
        <v>14.03</v>
      </c>
      <c r="P29" s="5" t="s">
        <v>35</v>
      </c>
    </row>
    <row r="30" spans="1:16" x14ac:dyDescent="0.3">
      <c r="A30" s="2" t="s">
        <v>103</v>
      </c>
      <c r="B30" s="3" t="s">
        <v>104</v>
      </c>
      <c r="C30" s="3" t="s">
        <v>18</v>
      </c>
      <c r="D30" s="3" t="s">
        <v>28</v>
      </c>
      <c r="E30" s="3" t="s">
        <v>38</v>
      </c>
      <c r="F30" s="3">
        <v>42031</v>
      </c>
      <c r="G30" s="3">
        <v>141</v>
      </c>
      <c r="H30" s="3">
        <v>126</v>
      </c>
      <c r="I30" s="3">
        <v>12797</v>
      </c>
      <c r="J30" s="3">
        <v>22484</v>
      </c>
      <c r="K30" s="3">
        <v>10.5</v>
      </c>
      <c r="L30" s="3" t="s">
        <v>21</v>
      </c>
      <c r="M30" s="3" t="s">
        <v>22</v>
      </c>
      <c r="N30" s="3" t="s">
        <v>58</v>
      </c>
      <c r="O30" s="3">
        <v>12</v>
      </c>
      <c r="P30" s="3" t="s">
        <v>35</v>
      </c>
    </row>
    <row r="31" spans="1:16" x14ac:dyDescent="0.3">
      <c r="A31" s="4" t="s">
        <v>105</v>
      </c>
      <c r="B31" s="5" t="s">
        <v>106</v>
      </c>
      <c r="C31" s="5" t="s">
        <v>44</v>
      </c>
      <c r="D31" s="5" t="s">
        <v>33</v>
      </c>
      <c r="E31" s="5" t="s">
        <v>29</v>
      </c>
      <c r="F31" s="5">
        <v>25854</v>
      </c>
      <c r="G31" s="5">
        <v>84</v>
      </c>
      <c r="H31" s="5">
        <v>158</v>
      </c>
      <c r="I31" s="5">
        <v>34767</v>
      </c>
      <c r="J31" s="5">
        <v>18495</v>
      </c>
      <c r="K31" s="5">
        <v>6.2</v>
      </c>
      <c r="L31" s="5" t="s">
        <v>21</v>
      </c>
      <c r="M31" s="5" t="s">
        <v>41</v>
      </c>
      <c r="N31" s="5" t="s">
        <v>23</v>
      </c>
      <c r="O31" s="5">
        <v>25.48</v>
      </c>
      <c r="P31" s="5" t="s">
        <v>78</v>
      </c>
    </row>
    <row r="32" spans="1:16" x14ac:dyDescent="0.3">
      <c r="A32" s="2" t="s">
        <v>107</v>
      </c>
      <c r="B32" s="3" t="s">
        <v>108</v>
      </c>
      <c r="C32" s="3" t="s">
        <v>18</v>
      </c>
      <c r="D32" s="3" t="s">
        <v>45</v>
      </c>
      <c r="E32" s="3" t="s">
        <v>20</v>
      </c>
      <c r="F32" s="3">
        <v>43028</v>
      </c>
      <c r="G32" s="3">
        <v>168</v>
      </c>
      <c r="H32" s="3">
        <v>100</v>
      </c>
      <c r="I32" s="3">
        <v>77790</v>
      </c>
      <c r="J32" s="3">
        <v>7992</v>
      </c>
      <c r="K32" s="3">
        <v>5.7</v>
      </c>
      <c r="L32" s="3" t="s">
        <v>21</v>
      </c>
      <c r="M32" s="3" t="s">
        <v>41</v>
      </c>
      <c r="N32" s="3" t="s">
        <v>30</v>
      </c>
      <c r="O32" s="3">
        <v>17.54</v>
      </c>
      <c r="P32" s="3" t="s">
        <v>35</v>
      </c>
    </row>
    <row r="33" spans="1:16" x14ac:dyDescent="0.3">
      <c r="A33" s="4" t="s">
        <v>109</v>
      </c>
      <c r="B33" s="5" t="s">
        <v>110</v>
      </c>
      <c r="C33" s="5" t="s">
        <v>44</v>
      </c>
      <c r="D33" s="5" t="s">
        <v>19</v>
      </c>
      <c r="E33" s="5" t="s">
        <v>70</v>
      </c>
      <c r="F33" s="5">
        <v>38757</v>
      </c>
      <c r="G33" s="5">
        <v>98</v>
      </c>
      <c r="H33" s="5">
        <v>110</v>
      </c>
      <c r="I33" s="5">
        <v>42396</v>
      </c>
      <c r="J33" s="5">
        <v>66924</v>
      </c>
      <c r="K33" s="5">
        <v>7.6</v>
      </c>
      <c r="L33" s="5" t="s">
        <v>21</v>
      </c>
      <c r="M33" s="5" t="s">
        <v>73</v>
      </c>
      <c r="N33" s="5" t="s">
        <v>30</v>
      </c>
      <c r="O33" s="5">
        <v>14.47</v>
      </c>
      <c r="P33" s="5" t="s">
        <v>35</v>
      </c>
    </row>
    <row r="34" spans="1:16" x14ac:dyDescent="0.3">
      <c r="A34" s="2" t="s">
        <v>111</v>
      </c>
      <c r="B34" s="3" t="s">
        <v>112</v>
      </c>
      <c r="C34" s="3" t="s">
        <v>27</v>
      </c>
      <c r="D34" s="3" t="s">
        <v>54</v>
      </c>
      <c r="E34" s="3" t="s">
        <v>20</v>
      </c>
      <c r="F34" s="3">
        <v>31572</v>
      </c>
      <c r="G34" s="3">
        <v>138</v>
      </c>
      <c r="H34" s="3">
        <v>58</v>
      </c>
      <c r="I34" s="3">
        <v>29876</v>
      </c>
      <c r="J34" s="3">
        <v>21397</v>
      </c>
      <c r="K34" s="3">
        <v>9.6</v>
      </c>
      <c r="L34" s="3" t="s">
        <v>21</v>
      </c>
      <c r="M34" s="3" t="s">
        <v>41</v>
      </c>
      <c r="N34" s="3" t="s">
        <v>50</v>
      </c>
      <c r="O34" s="3">
        <v>6.04</v>
      </c>
      <c r="P34" s="3" t="s">
        <v>24</v>
      </c>
    </row>
    <row r="35" spans="1:16" x14ac:dyDescent="0.3">
      <c r="A35" s="4" t="s">
        <v>113</v>
      </c>
      <c r="B35" s="5" t="s">
        <v>114</v>
      </c>
      <c r="C35" s="5" t="s">
        <v>27</v>
      </c>
      <c r="D35" s="5" t="s">
        <v>45</v>
      </c>
      <c r="E35" s="5" t="s">
        <v>70</v>
      </c>
      <c r="F35" s="5">
        <v>45919</v>
      </c>
      <c r="G35" s="5">
        <v>148</v>
      </c>
      <c r="H35" s="5">
        <v>80</v>
      </c>
      <c r="I35" s="5">
        <v>29073</v>
      </c>
      <c r="J35" s="5">
        <v>6710</v>
      </c>
      <c r="K35" s="5">
        <v>8.6</v>
      </c>
      <c r="L35" s="5" t="s">
        <v>21</v>
      </c>
      <c r="M35" s="5" t="s">
        <v>34</v>
      </c>
      <c r="N35" s="5" t="s">
        <v>47</v>
      </c>
      <c r="O35" s="5">
        <v>9.3000000000000007</v>
      </c>
      <c r="P35" s="5" t="s">
        <v>24</v>
      </c>
    </row>
    <row r="36" spans="1:16" x14ac:dyDescent="0.3">
      <c r="A36" s="2" t="s">
        <v>115</v>
      </c>
      <c r="B36" s="3" t="s">
        <v>116</v>
      </c>
      <c r="C36" s="3" t="s">
        <v>44</v>
      </c>
      <c r="D36" s="3" t="s">
        <v>45</v>
      </c>
      <c r="E36" s="3" t="s">
        <v>29</v>
      </c>
      <c r="F36" s="3">
        <v>28387</v>
      </c>
      <c r="G36" s="3">
        <v>145</v>
      </c>
      <c r="H36" s="3">
        <v>165</v>
      </c>
      <c r="I36" s="3">
        <v>6306</v>
      </c>
      <c r="J36" s="3">
        <v>60124</v>
      </c>
      <c r="K36" s="3">
        <v>7.8</v>
      </c>
      <c r="L36" s="3" t="s">
        <v>21</v>
      </c>
      <c r="M36" s="3" t="s">
        <v>34</v>
      </c>
      <c r="N36" s="3" t="s">
        <v>62</v>
      </c>
      <c r="O36" s="3">
        <v>21.15</v>
      </c>
      <c r="P36" s="3" t="s">
        <v>51</v>
      </c>
    </row>
    <row r="37" spans="1:16" x14ac:dyDescent="0.3">
      <c r="A37" s="4" t="s">
        <v>117</v>
      </c>
      <c r="B37" s="5" t="s">
        <v>118</v>
      </c>
      <c r="C37" s="5" t="s">
        <v>27</v>
      </c>
      <c r="D37" s="5" t="s">
        <v>54</v>
      </c>
      <c r="E37" s="5" t="s">
        <v>20</v>
      </c>
      <c r="F37" s="5">
        <v>43919</v>
      </c>
      <c r="G37" s="5">
        <v>140</v>
      </c>
      <c r="H37" s="5">
        <v>136</v>
      </c>
      <c r="I37" s="5">
        <v>72682</v>
      </c>
      <c r="J37" s="5">
        <v>51503</v>
      </c>
      <c r="K37" s="5">
        <v>7.2</v>
      </c>
      <c r="L37" s="5" t="s">
        <v>21</v>
      </c>
      <c r="M37" s="5" t="s">
        <v>34</v>
      </c>
      <c r="N37" s="5" t="s">
        <v>58</v>
      </c>
      <c r="O37" s="5">
        <v>18.89</v>
      </c>
      <c r="P37" s="5" t="s">
        <v>51</v>
      </c>
    </row>
    <row r="38" spans="1:16" x14ac:dyDescent="0.3">
      <c r="A38" s="2" t="s">
        <v>119</v>
      </c>
      <c r="B38" s="3" t="s">
        <v>120</v>
      </c>
      <c r="C38" s="3" t="s">
        <v>18</v>
      </c>
      <c r="D38" s="3" t="s">
        <v>19</v>
      </c>
      <c r="E38" s="3" t="s">
        <v>70</v>
      </c>
      <c r="F38" s="3">
        <v>37089</v>
      </c>
      <c r="G38" s="3">
        <v>157</v>
      </c>
      <c r="H38" s="3">
        <v>109</v>
      </c>
      <c r="I38" s="3">
        <v>17946</v>
      </c>
      <c r="J38" s="3">
        <v>14833</v>
      </c>
      <c r="K38" s="3">
        <v>9.4</v>
      </c>
      <c r="L38" s="3" t="s">
        <v>21</v>
      </c>
      <c r="M38" s="3" t="s">
        <v>41</v>
      </c>
      <c r="N38" s="3" t="s">
        <v>50</v>
      </c>
      <c r="O38" s="3">
        <v>11.6</v>
      </c>
      <c r="P38" s="3" t="s">
        <v>35</v>
      </c>
    </row>
    <row r="39" spans="1:16" x14ac:dyDescent="0.3">
      <c r="A39" s="4" t="s">
        <v>121</v>
      </c>
      <c r="B39" s="5" t="s">
        <v>122</v>
      </c>
      <c r="C39" s="5" t="s">
        <v>65</v>
      </c>
      <c r="D39" s="5" t="s">
        <v>33</v>
      </c>
      <c r="E39" s="5" t="s">
        <v>29</v>
      </c>
      <c r="F39" s="5">
        <v>29423</v>
      </c>
      <c r="G39" s="5">
        <v>134</v>
      </c>
      <c r="H39" s="5">
        <v>182</v>
      </c>
      <c r="I39" s="5">
        <v>42860</v>
      </c>
      <c r="J39" s="5">
        <v>7922</v>
      </c>
      <c r="K39" s="5">
        <v>7.7</v>
      </c>
      <c r="L39" s="5" t="s">
        <v>21</v>
      </c>
      <c r="M39" s="5" t="s">
        <v>73</v>
      </c>
      <c r="N39" s="5" t="s">
        <v>50</v>
      </c>
      <c r="O39" s="5">
        <v>23.64</v>
      </c>
      <c r="P39" s="5" t="s">
        <v>51</v>
      </c>
    </row>
    <row r="40" spans="1:16" x14ac:dyDescent="0.3">
      <c r="A40" s="2" t="s">
        <v>123</v>
      </c>
      <c r="B40" s="3" t="s">
        <v>124</v>
      </c>
      <c r="C40" s="3" t="s">
        <v>27</v>
      </c>
      <c r="D40" s="3" t="s">
        <v>19</v>
      </c>
      <c r="E40" s="3" t="s">
        <v>70</v>
      </c>
      <c r="F40" s="3">
        <v>31339</v>
      </c>
      <c r="G40" s="3">
        <v>174</v>
      </c>
      <c r="H40" s="3">
        <v>58</v>
      </c>
      <c r="I40" s="3">
        <v>73417</v>
      </c>
      <c r="J40" s="3">
        <v>58065</v>
      </c>
      <c r="K40" s="3">
        <v>8.4</v>
      </c>
      <c r="L40" s="3" t="s">
        <v>21</v>
      </c>
      <c r="M40" s="3" t="s">
        <v>34</v>
      </c>
      <c r="N40" s="3" t="s">
        <v>58</v>
      </c>
      <c r="O40" s="3">
        <v>6.9</v>
      </c>
      <c r="P40" s="3" t="s">
        <v>24</v>
      </c>
    </row>
    <row r="41" spans="1:16" x14ac:dyDescent="0.3">
      <c r="A41" s="4" t="s">
        <v>125</v>
      </c>
      <c r="B41" s="5" t="s">
        <v>126</v>
      </c>
      <c r="C41" s="5" t="s">
        <v>27</v>
      </c>
      <c r="D41" s="5" t="s">
        <v>45</v>
      </c>
      <c r="E41" s="5" t="s">
        <v>29</v>
      </c>
      <c r="F41" s="5">
        <v>42768</v>
      </c>
      <c r="G41" s="5">
        <v>144</v>
      </c>
      <c r="H41" s="5">
        <v>163</v>
      </c>
      <c r="I41" s="5">
        <v>28510</v>
      </c>
      <c r="J41" s="5">
        <v>26628</v>
      </c>
      <c r="K41" s="5">
        <v>6.1</v>
      </c>
      <c r="L41" s="5" t="s">
        <v>21</v>
      </c>
      <c r="M41" s="5" t="s">
        <v>41</v>
      </c>
      <c r="N41" s="5" t="s">
        <v>47</v>
      </c>
      <c r="O41" s="5">
        <v>26.72</v>
      </c>
      <c r="P41" s="5" t="s">
        <v>78</v>
      </c>
    </row>
    <row r="42" spans="1:16" x14ac:dyDescent="0.3">
      <c r="A42" s="2" t="s">
        <v>127</v>
      </c>
      <c r="B42" s="3" t="s">
        <v>128</v>
      </c>
      <c r="C42" s="3" t="s">
        <v>44</v>
      </c>
      <c r="D42" s="3" t="s">
        <v>33</v>
      </c>
      <c r="E42" s="3" t="s">
        <v>61</v>
      </c>
      <c r="F42" s="3">
        <v>42644</v>
      </c>
      <c r="G42" s="3">
        <v>170</v>
      </c>
      <c r="H42" s="3">
        <v>74</v>
      </c>
      <c r="I42" s="3">
        <v>51771</v>
      </c>
      <c r="J42" s="3">
        <v>47322</v>
      </c>
      <c r="K42" s="3">
        <v>4.5999999999999996</v>
      </c>
      <c r="L42" s="3" t="s">
        <v>21</v>
      </c>
      <c r="M42" s="3" t="s">
        <v>73</v>
      </c>
      <c r="N42" s="3" t="s">
        <v>30</v>
      </c>
      <c r="O42" s="3">
        <v>16.09</v>
      </c>
      <c r="P42" s="3" t="s">
        <v>35</v>
      </c>
    </row>
    <row r="43" spans="1:16" x14ac:dyDescent="0.3">
      <c r="A43" s="4" t="s">
        <v>129</v>
      </c>
      <c r="B43" s="5" t="s">
        <v>130</v>
      </c>
      <c r="C43" s="5" t="s">
        <v>27</v>
      </c>
      <c r="D43" s="5" t="s">
        <v>54</v>
      </c>
      <c r="E43" s="5" t="s">
        <v>29</v>
      </c>
      <c r="F43" s="5">
        <v>39108</v>
      </c>
      <c r="G43" s="5">
        <v>130</v>
      </c>
      <c r="H43" s="5">
        <v>46</v>
      </c>
      <c r="I43" s="5">
        <v>87292</v>
      </c>
      <c r="J43" s="5">
        <v>55384</v>
      </c>
      <c r="K43" s="5">
        <v>7.2</v>
      </c>
      <c r="L43" s="5" t="s">
        <v>21</v>
      </c>
      <c r="M43" s="5" t="s">
        <v>41</v>
      </c>
      <c r="N43" s="5" t="s">
        <v>62</v>
      </c>
      <c r="O43" s="5">
        <v>6.39</v>
      </c>
      <c r="P43" s="5" t="s">
        <v>24</v>
      </c>
    </row>
    <row r="44" spans="1:16" x14ac:dyDescent="0.3">
      <c r="A44" s="2" t="s">
        <v>131</v>
      </c>
      <c r="B44" s="3" t="s">
        <v>132</v>
      </c>
      <c r="C44" s="3" t="s">
        <v>18</v>
      </c>
      <c r="D44" s="3" t="s">
        <v>54</v>
      </c>
      <c r="E44" s="3" t="s">
        <v>38</v>
      </c>
      <c r="F44" s="3">
        <v>29402</v>
      </c>
      <c r="G44" s="3">
        <v>109</v>
      </c>
      <c r="H44" s="3">
        <v>53</v>
      </c>
      <c r="I44" s="3">
        <v>9025</v>
      </c>
      <c r="J44" s="3">
        <v>59486</v>
      </c>
      <c r="K44" s="3">
        <v>9.8000000000000007</v>
      </c>
      <c r="L44" s="3" t="s">
        <v>21</v>
      </c>
      <c r="M44" s="3" t="s">
        <v>41</v>
      </c>
      <c r="N44" s="3" t="s">
        <v>50</v>
      </c>
      <c r="O44" s="3">
        <v>5.41</v>
      </c>
      <c r="P44" s="3" t="s">
        <v>24</v>
      </c>
    </row>
    <row r="45" spans="1:16" x14ac:dyDescent="0.3">
      <c r="A45" s="4" t="s">
        <v>133</v>
      </c>
      <c r="B45" s="5" t="s">
        <v>134</v>
      </c>
      <c r="C45" s="5" t="s">
        <v>27</v>
      </c>
      <c r="D45" s="5" t="s">
        <v>19</v>
      </c>
      <c r="E45" s="5" t="s">
        <v>61</v>
      </c>
      <c r="F45" s="5">
        <v>26997</v>
      </c>
      <c r="G45" s="5">
        <v>95</v>
      </c>
      <c r="H45" s="5">
        <v>153</v>
      </c>
      <c r="I45" s="5">
        <v>11341</v>
      </c>
      <c r="J45" s="5">
        <v>63739</v>
      </c>
      <c r="K45" s="5">
        <v>10.3</v>
      </c>
      <c r="L45" s="5" t="s">
        <v>21</v>
      </c>
      <c r="M45" s="5" t="s">
        <v>34</v>
      </c>
      <c r="N45" s="5" t="s">
        <v>50</v>
      </c>
      <c r="O45" s="5">
        <v>14.85</v>
      </c>
      <c r="P45" s="5" t="s">
        <v>35</v>
      </c>
    </row>
    <row r="46" spans="1:16" x14ac:dyDescent="0.3">
      <c r="A46" s="2" t="s">
        <v>135</v>
      </c>
      <c r="B46" s="3" t="s">
        <v>136</v>
      </c>
      <c r="C46" s="3" t="s">
        <v>65</v>
      </c>
      <c r="D46" s="3" t="s">
        <v>28</v>
      </c>
      <c r="E46" s="3" t="s">
        <v>61</v>
      </c>
      <c r="F46" s="3">
        <v>22493</v>
      </c>
      <c r="G46" s="3">
        <v>84</v>
      </c>
      <c r="H46" s="3">
        <v>200</v>
      </c>
      <c r="I46" s="3">
        <v>65335</v>
      </c>
      <c r="J46" s="3">
        <v>31546</v>
      </c>
      <c r="K46" s="3">
        <v>10.4</v>
      </c>
      <c r="L46" s="3" t="s">
        <v>21</v>
      </c>
      <c r="M46" s="3" t="s">
        <v>41</v>
      </c>
      <c r="N46" s="3" t="s">
        <v>47</v>
      </c>
      <c r="O46" s="3">
        <v>19.23</v>
      </c>
      <c r="P46" s="3" t="s">
        <v>51</v>
      </c>
    </row>
    <row r="47" spans="1:16" x14ac:dyDescent="0.3">
      <c r="A47" s="4" t="s">
        <v>137</v>
      </c>
      <c r="B47" s="5" t="s">
        <v>138</v>
      </c>
      <c r="C47" s="5" t="s">
        <v>65</v>
      </c>
      <c r="D47" s="5" t="s">
        <v>33</v>
      </c>
      <c r="E47" s="5" t="s">
        <v>29</v>
      </c>
      <c r="F47" s="5">
        <v>35160</v>
      </c>
      <c r="G47" s="5">
        <v>90</v>
      </c>
      <c r="H47" s="5">
        <v>105</v>
      </c>
      <c r="I47" s="5">
        <v>52051</v>
      </c>
      <c r="J47" s="5">
        <v>22367</v>
      </c>
      <c r="K47" s="5">
        <v>10.1</v>
      </c>
      <c r="L47" s="5" t="s">
        <v>46</v>
      </c>
      <c r="M47" s="5" t="s">
        <v>34</v>
      </c>
      <c r="N47" s="5" t="s">
        <v>23</v>
      </c>
      <c r="O47" s="5">
        <v>10.4</v>
      </c>
      <c r="P47" s="5" t="s">
        <v>35</v>
      </c>
    </row>
    <row r="48" spans="1:16" x14ac:dyDescent="0.3">
      <c r="A48" s="2" t="s">
        <v>139</v>
      </c>
      <c r="B48" s="3" t="s">
        <v>140</v>
      </c>
      <c r="C48" s="3" t="s">
        <v>65</v>
      </c>
      <c r="D48" s="3" t="s">
        <v>33</v>
      </c>
      <c r="E48" s="3" t="s">
        <v>61</v>
      </c>
      <c r="F48" s="3">
        <v>35385</v>
      </c>
      <c r="G48" s="3">
        <v>87</v>
      </c>
      <c r="H48" s="3">
        <v>114</v>
      </c>
      <c r="I48" s="3">
        <v>74413</v>
      </c>
      <c r="J48" s="3">
        <v>33215</v>
      </c>
      <c r="K48" s="3">
        <v>6.1</v>
      </c>
      <c r="L48" s="3" t="s">
        <v>21</v>
      </c>
      <c r="M48" s="3" t="s">
        <v>22</v>
      </c>
      <c r="N48" s="3" t="s">
        <v>30</v>
      </c>
      <c r="O48" s="3">
        <v>18.690000000000001</v>
      </c>
      <c r="P48" s="3" t="s">
        <v>51</v>
      </c>
    </row>
    <row r="49" spans="1:16" x14ac:dyDescent="0.3">
      <c r="A49" s="4" t="s">
        <v>141</v>
      </c>
      <c r="B49" s="5" t="s">
        <v>142</v>
      </c>
      <c r="C49" s="5" t="s">
        <v>18</v>
      </c>
      <c r="D49" s="5" t="s">
        <v>19</v>
      </c>
      <c r="E49" s="5" t="s">
        <v>38</v>
      </c>
      <c r="F49" s="5">
        <v>26166</v>
      </c>
      <c r="G49" s="5">
        <v>101</v>
      </c>
      <c r="H49" s="5">
        <v>184</v>
      </c>
      <c r="I49" s="5">
        <v>37156</v>
      </c>
      <c r="J49" s="5">
        <v>50864</v>
      </c>
      <c r="K49" s="5">
        <v>5.9</v>
      </c>
      <c r="L49" s="5" t="s">
        <v>21</v>
      </c>
      <c r="M49" s="5" t="s">
        <v>34</v>
      </c>
      <c r="N49" s="5" t="s">
        <v>62</v>
      </c>
      <c r="O49" s="5">
        <v>31.19</v>
      </c>
      <c r="P49" s="5" t="s">
        <v>78</v>
      </c>
    </row>
    <row r="50" spans="1:16" x14ac:dyDescent="0.3">
      <c r="A50" s="2" t="s">
        <v>143</v>
      </c>
      <c r="B50" s="3" t="s">
        <v>144</v>
      </c>
      <c r="C50" s="3" t="s">
        <v>18</v>
      </c>
      <c r="D50" s="3" t="s">
        <v>28</v>
      </c>
      <c r="E50" s="3" t="s">
        <v>55</v>
      </c>
      <c r="F50" s="3">
        <v>27602</v>
      </c>
      <c r="G50" s="3">
        <v>154</v>
      </c>
      <c r="H50" s="3">
        <v>63</v>
      </c>
      <c r="I50" s="3">
        <v>50143</v>
      </c>
      <c r="J50" s="3">
        <v>25929</v>
      </c>
      <c r="K50" s="3">
        <v>10.3</v>
      </c>
      <c r="L50" s="3" t="s">
        <v>21</v>
      </c>
      <c r="M50" s="3" t="s">
        <v>41</v>
      </c>
      <c r="N50" s="3" t="s">
        <v>30</v>
      </c>
      <c r="O50" s="3">
        <v>6.12</v>
      </c>
      <c r="P50" s="3" t="s">
        <v>24</v>
      </c>
    </row>
    <row r="51" spans="1:16" x14ac:dyDescent="0.3">
      <c r="A51" s="4" t="s">
        <v>145</v>
      </c>
      <c r="B51" s="5" t="s">
        <v>146</v>
      </c>
      <c r="C51" s="5" t="s">
        <v>65</v>
      </c>
      <c r="D51" s="5" t="s">
        <v>33</v>
      </c>
      <c r="E51" s="5" t="s">
        <v>61</v>
      </c>
      <c r="F51" s="5">
        <v>26613</v>
      </c>
      <c r="G51" s="5">
        <v>92</v>
      </c>
      <c r="H51" s="5">
        <v>153</v>
      </c>
      <c r="I51" s="5">
        <v>27397</v>
      </c>
      <c r="J51" s="5">
        <v>68359</v>
      </c>
      <c r="K51" s="5">
        <v>7.5</v>
      </c>
      <c r="L51" s="5" t="s">
        <v>21</v>
      </c>
      <c r="M51" s="5" t="s">
        <v>73</v>
      </c>
      <c r="N51" s="5" t="s">
        <v>58</v>
      </c>
      <c r="O51" s="5">
        <v>20.399999999999999</v>
      </c>
      <c r="P51" s="5" t="s">
        <v>51</v>
      </c>
    </row>
    <row r="52" spans="1:16" x14ac:dyDescent="0.3">
      <c r="A52" s="2" t="s">
        <v>147</v>
      </c>
      <c r="B52" s="3" t="s">
        <v>148</v>
      </c>
      <c r="C52" s="3" t="s">
        <v>44</v>
      </c>
      <c r="D52" s="3" t="s">
        <v>45</v>
      </c>
      <c r="E52" s="3" t="s">
        <v>20</v>
      </c>
      <c r="F52" s="3">
        <v>29323</v>
      </c>
      <c r="G52" s="3">
        <v>92</v>
      </c>
      <c r="H52" s="3">
        <v>185</v>
      </c>
      <c r="I52" s="3">
        <v>26292</v>
      </c>
      <c r="J52" s="3">
        <v>5368</v>
      </c>
      <c r="K52" s="3">
        <v>4.9000000000000004</v>
      </c>
      <c r="L52" s="3" t="s">
        <v>46</v>
      </c>
      <c r="M52" s="3" t="s">
        <v>22</v>
      </c>
      <c r="N52" s="3" t="s">
        <v>30</v>
      </c>
      <c r="O52" s="3">
        <v>37.76</v>
      </c>
      <c r="P52" s="3" t="s">
        <v>78</v>
      </c>
    </row>
    <row r="53" spans="1:16" x14ac:dyDescent="0.3">
      <c r="A53" s="4" t="s">
        <v>149</v>
      </c>
      <c r="B53" s="5" t="s">
        <v>150</v>
      </c>
      <c r="C53" s="5" t="s">
        <v>27</v>
      </c>
      <c r="D53" s="5" t="s">
        <v>19</v>
      </c>
      <c r="E53" s="5" t="s">
        <v>70</v>
      </c>
      <c r="F53" s="5">
        <v>28177</v>
      </c>
      <c r="G53" s="5">
        <v>111</v>
      </c>
      <c r="H53" s="5">
        <v>113</v>
      </c>
      <c r="I53" s="5">
        <v>51570</v>
      </c>
      <c r="J53" s="5">
        <v>12917</v>
      </c>
      <c r="K53" s="5">
        <v>9.6</v>
      </c>
      <c r="L53" s="5" t="s">
        <v>21</v>
      </c>
      <c r="M53" s="5" t="s">
        <v>22</v>
      </c>
      <c r="N53" s="5" t="s">
        <v>23</v>
      </c>
      <c r="O53" s="5">
        <v>11.77</v>
      </c>
      <c r="P53" s="5" t="s">
        <v>35</v>
      </c>
    </row>
    <row r="54" spans="1:16" x14ac:dyDescent="0.3">
      <c r="A54" s="2" t="s">
        <v>151</v>
      </c>
      <c r="B54" s="3" t="s">
        <v>152</v>
      </c>
      <c r="C54" s="3" t="s">
        <v>18</v>
      </c>
      <c r="D54" s="3" t="s">
        <v>33</v>
      </c>
      <c r="E54" s="3" t="s">
        <v>55</v>
      </c>
      <c r="F54" s="3">
        <v>53723</v>
      </c>
      <c r="G54" s="3">
        <v>97</v>
      </c>
      <c r="H54" s="3">
        <v>198</v>
      </c>
      <c r="I54" s="3">
        <v>73503</v>
      </c>
      <c r="J54" s="3">
        <v>33901</v>
      </c>
      <c r="K54" s="3">
        <v>10.199999999999999</v>
      </c>
      <c r="L54" s="3" t="s">
        <v>21</v>
      </c>
      <c r="M54" s="3" t="s">
        <v>41</v>
      </c>
      <c r="N54" s="3" t="s">
        <v>23</v>
      </c>
      <c r="O54" s="3">
        <v>19.41</v>
      </c>
      <c r="P54" s="3" t="s">
        <v>51</v>
      </c>
    </row>
    <row r="55" spans="1:16" x14ac:dyDescent="0.3">
      <c r="A55" s="4" t="s">
        <v>153</v>
      </c>
      <c r="B55" s="5" t="s">
        <v>154</v>
      </c>
      <c r="C55" s="5" t="s">
        <v>65</v>
      </c>
      <c r="D55" s="5" t="s">
        <v>33</v>
      </c>
      <c r="E55" s="5" t="s">
        <v>55</v>
      </c>
      <c r="F55" s="5">
        <v>27092</v>
      </c>
      <c r="G55" s="5">
        <v>80</v>
      </c>
      <c r="H55" s="5">
        <v>148</v>
      </c>
      <c r="I55" s="5">
        <v>22079</v>
      </c>
      <c r="J55" s="5">
        <v>28998</v>
      </c>
      <c r="K55" s="5">
        <v>4.7</v>
      </c>
      <c r="L55" s="5" t="s">
        <v>21</v>
      </c>
      <c r="M55" s="5" t="s">
        <v>22</v>
      </c>
      <c r="N55" s="5" t="s">
        <v>30</v>
      </c>
      <c r="O55" s="5">
        <v>31.49</v>
      </c>
      <c r="P55" s="5" t="s">
        <v>78</v>
      </c>
    </row>
    <row r="56" spans="1:16" x14ac:dyDescent="0.3">
      <c r="A56" s="2" t="s">
        <v>155</v>
      </c>
      <c r="B56" s="3" t="s">
        <v>156</v>
      </c>
      <c r="C56" s="3" t="s">
        <v>27</v>
      </c>
      <c r="D56" s="3" t="s">
        <v>54</v>
      </c>
      <c r="E56" s="3" t="s">
        <v>38</v>
      </c>
      <c r="F56" s="3">
        <v>32344</v>
      </c>
      <c r="G56" s="3">
        <v>155</v>
      </c>
      <c r="H56" s="3">
        <v>159</v>
      </c>
      <c r="I56" s="3">
        <v>61335</v>
      </c>
      <c r="J56" s="3">
        <v>65652</v>
      </c>
      <c r="K56" s="3">
        <v>6.7</v>
      </c>
      <c r="L56" s="3" t="s">
        <v>21</v>
      </c>
      <c r="M56" s="3" t="s">
        <v>41</v>
      </c>
      <c r="N56" s="3" t="s">
        <v>62</v>
      </c>
      <c r="O56" s="3">
        <v>23.73</v>
      </c>
      <c r="P56" s="3" t="s">
        <v>51</v>
      </c>
    </row>
    <row r="57" spans="1:16" x14ac:dyDescent="0.3">
      <c r="A57" s="4" t="s">
        <v>157</v>
      </c>
      <c r="B57" s="5" t="s">
        <v>158</v>
      </c>
      <c r="C57" s="5" t="s">
        <v>18</v>
      </c>
      <c r="D57" s="5" t="s">
        <v>45</v>
      </c>
      <c r="E57" s="5" t="s">
        <v>61</v>
      </c>
      <c r="F57" s="5">
        <v>53425</v>
      </c>
      <c r="G57" s="5">
        <v>167</v>
      </c>
      <c r="H57" s="5">
        <v>134</v>
      </c>
      <c r="I57" s="5">
        <v>80924</v>
      </c>
      <c r="J57" s="5">
        <v>26793</v>
      </c>
      <c r="K57" s="5">
        <v>9.9</v>
      </c>
      <c r="L57" s="5" t="s">
        <v>46</v>
      </c>
      <c r="M57" s="5" t="s">
        <v>22</v>
      </c>
      <c r="N57" s="5" t="s">
        <v>47</v>
      </c>
      <c r="O57" s="5">
        <v>13.54</v>
      </c>
      <c r="P57" s="5" t="s">
        <v>35</v>
      </c>
    </row>
    <row r="58" spans="1:16" x14ac:dyDescent="0.3">
      <c r="A58" s="2" t="s">
        <v>159</v>
      </c>
      <c r="B58" s="3" t="s">
        <v>160</v>
      </c>
      <c r="C58" s="3" t="s">
        <v>65</v>
      </c>
      <c r="D58" s="3" t="s">
        <v>33</v>
      </c>
      <c r="E58" s="3" t="s">
        <v>38</v>
      </c>
      <c r="F58" s="3">
        <v>54036</v>
      </c>
      <c r="G58" s="3">
        <v>101</v>
      </c>
      <c r="H58" s="3">
        <v>75</v>
      </c>
      <c r="I58" s="3">
        <v>38295</v>
      </c>
      <c r="J58" s="3">
        <v>19179</v>
      </c>
      <c r="K58" s="3">
        <v>10.9</v>
      </c>
      <c r="L58" s="3" t="s">
        <v>21</v>
      </c>
      <c r="M58" s="3" t="s">
        <v>22</v>
      </c>
      <c r="N58" s="3" t="s">
        <v>58</v>
      </c>
      <c r="O58" s="3">
        <v>6.88</v>
      </c>
      <c r="P58" s="3" t="s">
        <v>24</v>
      </c>
    </row>
    <row r="59" spans="1:16" x14ac:dyDescent="0.3">
      <c r="A59" s="4" t="s">
        <v>161</v>
      </c>
      <c r="B59" s="5" t="s">
        <v>162</v>
      </c>
      <c r="C59" s="5" t="s">
        <v>44</v>
      </c>
      <c r="D59" s="5" t="s">
        <v>33</v>
      </c>
      <c r="E59" s="5" t="s">
        <v>70</v>
      </c>
      <c r="F59" s="5">
        <v>23012</v>
      </c>
      <c r="G59" s="5">
        <v>154</v>
      </c>
      <c r="H59" s="5">
        <v>77</v>
      </c>
      <c r="I59" s="5">
        <v>60820</v>
      </c>
      <c r="J59" s="5">
        <v>5379</v>
      </c>
      <c r="K59" s="5">
        <v>8.6999999999999993</v>
      </c>
      <c r="L59" s="5" t="s">
        <v>21</v>
      </c>
      <c r="M59" s="5" t="s">
        <v>22</v>
      </c>
      <c r="N59" s="5" t="s">
        <v>30</v>
      </c>
      <c r="O59" s="5">
        <v>8.85</v>
      </c>
      <c r="P59" s="5" t="s">
        <v>24</v>
      </c>
    </row>
    <row r="60" spans="1:16" x14ac:dyDescent="0.3">
      <c r="A60" s="2" t="s">
        <v>163</v>
      </c>
      <c r="B60" s="3" t="s">
        <v>164</v>
      </c>
      <c r="C60" s="3" t="s">
        <v>44</v>
      </c>
      <c r="D60" s="3" t="s">
        <v>19</v>
      </c>
      <c r="E60" s="3" t="s">
        <v>55</v>
      </c>
      <c r="F60" s="3">
        <v>45564</v>
      </c>
      <c r="G60" s="3">
        <v>156</v>
      </c>
      <c r="H60" s="3">
        <v>73</v>
      </c>
      <c r="I60" s="3">
        <v>77996</v>
      </c>
      <c r="J60" s="3">
        <v>53351</v>
      </c>
      <c r="K60" s="3">
        <v>6</v>
      </c>
      <c r="L60" s="3" t="s">
        <v>46</v>
      </c>
      <c r="M60" s="3" t="s">
        <v>41</v>
      </c>
      <c r="N60" s="3" t="s">
        <v>62</v>
      </c>
      <c r="O60" s="3">
        <v>12.17</v>
      </c>
      <c r="P60" s="3" t="s">
        <v>35</v>
      </c>
    </row>
    <row r="61" spans="1:16" x14ac:dyDescent="0.3">
      <c r="A61" s="4" t="s">
        <v>165</v>
      </c>
      <c r="B61" s="5" t="s">
        <v>166</v>
      </c>
      <c r="C61" s="5" t="s">
        <v>65</v>
      </c>
      <c r="D61" s="5" t="s">
        <v>33</v>
      </c>
      <c r="E61" s="5" t="s">
        <v>20</v>
      </c>
      <c r="F61" s="5">
        <v>29486</v>
      </c>
      <c r="G61" s="5">
        <v>128</v>
      </c>
      <c r="H61" s="5">
        <v>65</v>
      </c>
      <c r="I61" s="5">
        <v>18845</v>
      </c>
      <c r="J61" s="5">
        <v>26330</v>
      </c>
      <c r="K61" s="5">
        <v>7.2</v>
      </c>
      <c r="L61" s="5" t="s">
        <v>21</v>
      </c>
      <c r="M61" s="5" t="s">
        <v>34</v>
      </c>
      <c r="N61" s="5" t="s">
        <v>47</v>
      </c>
      <c r="O61" s="5">
        <v>9.0299999999999994</v>
      </c>
      <c r="P61" s="5" t="s">
        <v>24</v>
      </c>
    </row>
    <row r="62" spans="1:16" x14ac:dyDescent="0.3">
      <c r="A62" s="2" t="s">
        <v>167</v>
      </c>
      <c r="B62" s="3" t="s">
        <v>168</v>
      </c>
      <c r="C62" s="3" t="s">
        <v>65</v>
      </c>
      <c r="D62" s="3" t="s">
        <v>54</v>
      </c>
      <c r="E62" s="3" t="s">
        <v>29</v>
      </c>
      <c r="F62" s="3">
        <v>53819</v>
      </c>
      <c r="G62" s="3">
        <v>124</v>
      </c>
      <c r="H62" s="3">
        <v>84</v>
      </c>
      <c r="I62" s="3">
        <v>42778</v>
      </c>
      <c r="J62" s="3">
        <v>25819</v>
      </c>
      <c r="K62" s="3">
        <v>9.5</v>
      </c>
      <c r="L62" s="3" t="s">
        <v>21</v>
      </c>
      <c r="M62" s="3" t="s">
        <v>22</v>
      </c>
      <c r="N62" s="3" t="s">
        <v>50</v>
      </c>
      <c r="O62" s="3">
        <v>8.84</v>
      </c>
      <c r="P62" s="3" t="s">
        <v>24</v>
      </c>
    </row>
    <row r="63" spans="1:16" x14ac:dyDescent="0.3">
      <c r="A63" s="4" t="s">
        <v>169</v>
      </c>
      <c r="B63" s="5" t="s">
        <v>170</v>
      </c>
      <c r="C63" s="5" t="s">
        <v>44</v>
      </c>
      <c r="D63" s="5" t="s">
        <v>28</v>
      </c>
      <c r="E63" s="5" t="s">
        <v>29</v>
      </c>
      <c r="F63" s="5">
        <v>37700</v>
      </c>
      <c r="G63" s="5">
        <v>176</v>
      </c>
      <c r="H63" s="5">
        <v>97</v>
      </c>
      <c r="I63" s="5">
        <v>63849</v>
      </c>
      <c r="J63" s="5">
        <v>45710</v>
      </c>
      <c r="K63" s="5">
        <v>4.7</v>
      </c>
      <c r="L63" s="5" t="s">
        <v>21</v>
      </c>
      <c r="M63" s="5" t="s">
        <v>41</v>
      </c>
      <c r="N63" s="5" t="s">
        <v>23</v>
      </c>
      <c r="O63" s="5">
        <v>20.64</v>
      </c>
      <c r="P63" s="5" t="s">
        <v>51</v>
      </c>
    </row>
    <row r="64" spans="1:16" x14ac:dyDescent="0.3">
      <c r="A64" s="2" t="s">
        <v>171</v>
      </c>
      <c r="B64" s="3" t="s">
        <v>172</v>
      </c>
      <c r="C64" s="3" t="s">
        <v>18</v>
      </c>
      <c r="D64" s="3" t="s">
        <v>54</v>
      </c>
      <c r="E64" s="3" t="s">
        <v>38</v>
      </c>
      <c r="F64" s="3">
        <v>50472</v>
      </c>
      <c r="G64" s="3">
        <v>102</v>
      </c>
      <c r="H64" s="3">
        <v>87</v>
      </c>
      <c r="I64" s="3">
        <v>83928</v>
      </c>
      <c r="J64" s="3">
        <v>30884</v>
      </c>
      <c r="K64" s="3">
        <v>6.9</v>
      </c>
      <c r="L64" s="3" t="s">
        <v>21</v>
      </c>
      <c r="M64" s="3" t="s">
        <v>22</v>
      </c>
      <c r="N64" s="3" t="s">
        <v>50</v>
      </c>
      <c r="O64" s="3">
        <v>12.61</v>
      </c>
      <c r="P64" s="3" t="s">
        <v>35</v>
      </c>
    </row>
    <row r="65" spans="1:16" x14ac:dyDescent="0.3">
      <c r="A65" s="4" t="s">
        <v>173</v>
      </c>
      <c r="B65" s="5" t="s">
        <v>174</v>
      </c>
      <c r="C65" s="5" t="s">
        <v>44</v>
      </c>
      <c r="D65" s="5" t="s">
        <v>19</v>
      </c>
      <c r="E65" s="5" t="s">
        <v>61</v>
      </c>
      <c r="F65" s="5">
        <v>41717</v>
      </c>
      <c r="G65" s="5">
        <v>140</v>
      </c>
      <c r="H65" s="5">
        <v>110</v>
      </c>
      <c r="I65" s="5">
        <v>9804</v>
      </c>
      <c r="J65" s="5">
        <v>3718</v>
      </c>
      <c r="K65" s="5">
        <v>10.7</v>
      </c>
      <c r="L65" s="5" t="s">
        <v>21</v>
      </c>
      <c r="M65" s="5" t="s">
        <v>34</v>
      </c>
      <c r="N65" s="5" t="s">
        <v>58</v>
      </c>
      <c r="O65" s="5">
        <v>10.28</v>
      </c>
      <c r="P65" s="5" t="s">
        <v>35</v>
      </c>
    </row>
    <row r="66" spans="1:16" x14ac:dyDescent="0.3">
      <c r="A66" s="2" t="s">
        <v>175</v>
      </c>
      <c r="B66" s="3" t="s">
        <v>176</v>
      </c>
      <c r="C66" s="3" t="s">
        <v>18</v>
      </c>
      <c r="D66" s="3" t="s">
        <v>33</v>
      </c>
      <c r="E66" s="3" t="s">
        <v>38</v>
      </c>
      <c r="F66" s="3">
        <v>27641</v>
      </c>
      <c r="G66" s="3">
        <v>114</v>
      </c>
      <c r="H66" s="3">
        <v>62</v>
      </c>
      <c r="I66" s="3">
        <v>60073</v>
      </c>
      <c r="J66" s="3">
        <v>36905</v>
      </c>
      <c r="K66" s="3">
        <v>7.4</v>
      </c>
      <c r="L66" s="3" t="s">
        <v>21</v>
      </c>
      <c r="M66" s="3" t="s">
        <v>41</v>
      </c>
      <c r="N66" s="3" t="s">
        <v>30</v>
      </c>
      <c r="O66" s="3">
        <v>8.3800000000000008</v>
      </c>
      <c r="P66" s="3" t="s">
        <v>24</v>
      </c>
    </row>
    <row r="67" spans="1:16" x14ac:dyDescent="0.3">
      <c r="A67" s="4" t="s">
        <v>177</v>
      </c>
      <c r="B67" s="5" t="s">
        <v>178</v>
      </c>
      <c r="C67" s="5" t="s">
        <v>27</v>
      </c>
      <c r="D67" s="5" t="s">
        <v>54</v>
      </c>
      <c r="E67" s="5" t="s">
        <v>29</v>
      </c>
      <c r="F67" s="5">
        <v>36165</v>
      </c>
      <c r="G67" s="5">
        <v>136</v>
      </c>
      <c r="H67" s="5">
        <v>87</v>
      </c>
      <c r="I67" s="5">
        <v>74810</v>
      </c>
      <c r="J67" s="5">
        <v>51098</v>
      </c>
      <c r="K67" s="5">
        <v>6.8</v>
      </c>
      <c r="L67" s="5" t="s">
        <v>21</v>
      </c>
      <c r="M67" s="5" t="s">
        <v>41</v>
      </c>
      <c r="N67" s="5" t="s">
        <v>50</v>
      </c>
      <c r="O67" s="5">
        <v>12.79</v>
      </c>
      <c r="P67" s="5" t="s">
        <v>35</v>
      </c>
    </row>
    <row r="68" spans="1:16" x14ac:dyDescent="0.3">
      <c r="A68" s="2" t="s">
        <v>179</v>
      </c>
      <c r="B68" s="3" t="s">
        <v>180</v>
      </c>
      <c r="C68" s="3" t="s">
        <v>44</v>
      </c>
      <c r="D68" s="3" t="s">
        <v>54</v>
      </c>
      <c r="E68" s="3" t="s">
        <v>70</v>
      </c>
      <c r="F68" s="3">
        <v>36546</v>
      </c>
      <c r="G68" s="3">
        <v>102</v>
      </c>
      <c r="H68" s="3">
        <v>67</v>
      </c>
      <c r="I68" s="3">
        <v>53456</v>
      </c>
      <c r="J68" s="3">
        <v>39178</v>
      </c>
      <c r="K68" s="3">
        <v>10.3</v>
      </c>
      <c r="L68" s="3" t="s">
        <v>21</v>
      </c>
      <c r="M68" s="3" t="s">
        <v>22</v>
      </c>
      <c r="N68" s="3" t="s">
        <v>58</v>
      </c>
      <c r="O68" s="3">
        <v>6.5</v>
      </c>
      <c r="P68" s="3" t="s">
        <v>24</v>
      </c>
    </row>
    <row r="69" spans="1:16" x14ac:dyDescent="0.3">
      <c r="A69" s="4" t="s">
        <v>181</v>
      </c>
      <c r="B69" s="5" t="s">
        <v>182</v>
      </c>
      <c r="C69" s="5" t="s">
        <v>65</v>
      </c>
      <c r="D69" s="5" t="s">
        <v>33</v>
      </c>
      <c r="E69" s="5" t="s">
        <v>55</v>
      </c>
      <c r="F69" s="5">
        <v>32653</v>
      </c>
      <c r="G69" s="5">
        <v>177</v>
      </c>
      <c r="H69" s="5">
        <v>45</v>
      </c>
      <c r="I69" s="5">
        <v>21327</v>
      </c>
      <c r="J69" s="5">
        <v>66213</v>
      </c>
      <c r="K69" s="5">
        <v>7.1</v>
      </c>
      <c r="L69" s="5" t="s">
        <v>21</v>
      </c>
      <c r="M69" s="5" t="s">
        <v>73</v>
      </c>
      <c r="N69" s="5" t="s">
        <v>30</v>
      </c>
      <c r="O69" s="5">
        <v>6.34</v>
      </c>
      <c r="P69" s="5" t="s">
        <v>24</v>
      </c>
    </row>
    <row r="70" spans="1:16" x14ac:dyDescent="0.3">
      <c r="A70" s="2" t="s">
        <v>183</v>
      </c>
      <c r="B70" s="3" t="s">
        <v>184</v>
      </c>
      <c r="C70" s="3" t="s">
        <v>18</v>
      </c>
      <c r="D70" s="3" t="s">
        <v>28</v>
      </c>
      <c r="E70" s="3" t="s">
        <v>38</v>
      </c>
      <c r="F70" s="3">
        <v>54533</v>
      </c>
      <c r="G70" s="3">
        <v>128</v>
      </c>
      <c r="H70" s="3">
        <v>41</v>
      </c>
      <c r="I70" s="3">
        <v>80417</v>
      </c>
      <c r="J70" s="3">
        <v>62769</v>
      </c>
      <c r="K70" s="3">
        <v>5.7</v>
      </c>
      <c r="L70" s="3" t="s">
        <v>21</v>
      </c>
      <c r="M70" s="3" t="s">
        <v>22</v>
      </c>
      <c r="N70" s="3" t="s">
        <v>30</v>
      </c>
      <c r="O70" s="3">
        <v>7.19</v>
      </c>
      <c r="P70" s="3" t="s">
        <v>24</v>
      </c>
    </row>
    <row r="71" spans="1:16" x14ac:dyDescent="0.3">
      <c r="A71" s="4" t="s">
        <v>185</v>
      </c>
      <c r="B71" s="5" t="s">
        <v>186</v>
      </c>
      <c r="C71" s="5" t="s">
        <v>44</v>
      </c>
      <c r="D71" s="5" t="s">
        <v>45</v>
      </c>
      <c r="E71" s="5" t="s">
        <v>70</v>
      </c>
      <c r="F71" s="5">
        <v>52510</v>
      </c>
      <c r="G71" s="5">
        <v>129</v>
      </c>
      <c r="H71" s="5">
        <v>161</v>
      </c>
      <c r="I71" s="5">
        <v>44935</v>
      </c>
      <c r="J71" s="5">
        <v>35603</v>
      </c>
      <c r="K71" s="5">
        <v>9.3000000000000007</v>
      </c>
      <c r="L71" s="5" t="s">
        <v>21</v>
      </c>
      <c r="M71" s="5" t="s">
        <v>34</v>
      </c>
      <c r="N71" s="5" t="s">
        <v>47</v>
      </c>
      <c r="O71" s="5">
        <v>17.309999999999999</v>
      </c>
      <c r="P71" s="5" t="s">
        <v>35</v>
      </c>
    </row>
    <row r="72" spans="1:16" x14ac:dyDescent="0.3">
      <c r="A72" s="2" t="s">
        <v>187</v>
      </c>
      <c r="B72" s="3" t="s">
        <v>188</v>
      </c>
      <c r="C72" s="3" t="s">
        <v>18</v>
      </c>
      <c r="D72" s="3" t="s">
        <v>28</v>
      </c>
      <c r="E72" s="3" t="s">
        <v>29</v>
      </c>
      <c r="F72" s="3">
        <v>52387</v>
      </c>
      <c r="G72" s="3">
        <v>177</v>
      </c>
      <c r="H72" s="3">
        <v>56</v>
      </c>
      <c r="I72" s="3">
        <v>16941</v>
      </c>
      <c r="J72" s="3">
        <v>57463</v>
      </c>
      <c r="K72" s="3">
        <v>8.9</v>
      </c>
      <c r="L72" s="3" t="s">
        <v>21</v>
      </c>
      <c r="M72" s="3" t="s">
        <v>41</v>
      </c>
      <c r="N72" s="3" t="s">
        <v>50</v>
      </c>
      <c r="O72" s="3">
        <v>6.29</v>
      </c>
      <c r="P72" s="3" t="s">
        <v>24</v>
      </c>
    </row>
    <row r="73" spans="1:16" x14ac:dyDescent="0.3">
      <c r="A73" s="4" t="s">
        <v>189</v>
      </c>
      <c r="B73" s="5" t="s">
        <v>190</v>
      </c>
      <c r="C73" s="5" t="s">
        <v>18</v>
      </c>
      <c r="D73" s="5" t="s">
        <v>19</v>
      </c>
      <c r="E73" s="5" t="s">
        <v>70</v>
      </c>
      <c r="F73" s="5">
        <v>54066</v>
      </c>
      <c r="G73" s="5">
        <v>167</v>
      </c>
      <c r="H73" s="5">
        <v>120</v>
      </c>
      <c r="I73" s="5">
        <v>24286</v>
      </c>
      <c r="J73" s="5">
        <v>39164</v>
      </c>
      <c r="K73" s="5">
        <v>4.5999999999999996</v>
      </c>
      <c r="L73" s="5" t="s">
        <v>21</v>
      </c>
      <c r="M73" s="5" t="s">
        <v>34</v>
      </c>
      <c r="N73" s="5" t="s">
        <v>30</v>
      </c>
      <c r="O73" s="5">
        <v>26.09</v>
      </c>
      <c r="P73" s="5" t="s">
        <v>78</v>
      </c>
    </row>
    <row r="74" spans="1:16" x14ac:dyDescent="0.3">
      <c r="A74" s="2" t="s">
        <v>191</v>
      </c>
      <c r="B74" s="3" t="s">
        <v>192</v>
      </c>
      <c r="C74" s="3" t="s">
        <v>18</v>
      </c>
      <c r="D74" s="3" t="s">
        <v>19</v>
      </c>
      <c r="E74" s="3" t="s">
        <v>55</v>
      </c>
      <c r="F74" s="3">
        <v>52369</v>
      </c>
      <c r="G74" s="3">
        <v>97</v>
      </c>
      <c r="H74" s="3">
        <v>48</v>
      </c>
      <c r="I74" s="3">
        <v>50799</v>
      </c>
      <c r="J74" s="3">
        <v>48514</v>
      </c>
      <c r="K74" s="3">
        <v>9</v>
      </c>
      <c r="L74" s="3" t="s">
        <v>21</v>
      </c>
      <c r="M74" s="3" t="s">
        <v>73</v>
      </c>
      <c r="N74" s="3" t="s">
        <v>50</v>
      </c>
      <c r="O74" s="3">
        <v>5.33</v>
      </c>
      <c r="P74" s="3" t="s">
        <v>24</v>
      </c>
    </row>
    <row r="75" spans="1:16" x14ac:dyDescent="0.3">
      <c r="A75" s="4" t="s">
        <v>193</v>
      </c>
      <c r="B75" s="5" t="s">
        <v>194</v>
      </c>
      <c r="C75" s="5" t="s">
        <v>18</v>
      </c>
      <c r="D75" s="5" t="s">
        <v>19</v>
      </c>
      <c r="E75" s="5" t="s">
        <v>61</v>
      </c>
      <c r="F75" s="5">
        <v>48015</v>
      </c>
      <c r="G75" s="5">
        <v>108</v>
      </c>
      <c r="H75" s="5">
        <v>112</v>
      </c>
      <c r="I75" s="5">
        <v>63542</v>
      </c>
      <c r="J75" s="5">
        <v>16917</v>
      </c>
      <c r="K75" s="5">
        <v>9.6999999999999993</v>
      </c>
      <c r="L75" s="5" t="s">
        <v>21</v>
      </c>
      <c r="M75" s="5" t="s">
        <v>22</v>
      </c>
      <c r="N75" s="5" t="s">
        <v>62</v>
      </c>
      <c r="O75" s="5">
        <v>11.55</v>
      </c>
      <c r="P75" s="5" t="s">
        <v>35</v>
      </c>
    </row>
    <row r="76" spans="1:16" x14ac:dyDescent="0.3">
      <c r="A76" s="2" t="s">
        <v>195</v>
      </c>
      <c r="B76" s="3" t="s">
        <v>196</v>
      </c>
      <c r="C76" s="3" t="s">
        <v>65</v>
      </c>
      <c r="D76" s="3" t="s">
        <v>33</v>
      </c>
      <c r="E76" s="3" t="s">
        <v>38</v>
      </c>
      <c r="F76" s="3">
        <v>33584</v>
      </c>
      <c r="G76" s="3">
        <v>142</v>
      </c>
      <c r="H76" s="3">
        <v>125</v>
      </c>
      <c r="I76" s="3">
        <v>32301</v>
      </c>
      <c r="J76" s="3">
        <v>67379</v>
      </c>
      <c r="K76" s="3">
        <v>9.6999999999999993</v>
      </c>
      <c r="L76" s="3" t="s">
        <v>46</v>
      </c>
      <c r="M76" s="3" t="s">
        <v>73</v>
      </c>
      <c r="N76" s="3" t="s">
        <v>47</v>
      </c>
      <c r="O76" s="3">
        <v>12.89</v>
      </c>
      <c r="P76" s="3" t="s">
        <v>35</v>
      </c>
    </row>
    <row r="77" spans="1:16" x14ac:dyDescent="0.3">
      <c r="A77" s="4" t="s">
        <v>197</v>
      </c>
      <c r="B77" s="5" t="s">
        <v>198</v>
      </c>
      <c r="C77" s="5" t="s">
        <v>44</v>
      </c>
      <c r="D77" s="5" t="s">
        <v>28</v>
      </c>
      <c r="E77" s="5" t="s">
        <v>61</v>
      </c>
      <c r="F77" s="5">
        <v>38071</v>
      </c>
      <c r="G77" s="5">
        <v>175</v>
      </c>
      <c r="H77" s="5">
        <v>124</v>
      </c>
      <c r="I77" s="5">
        <v>50841</v>
      </c>
      <c r="J77" s="5">
        <v>13609</v>
      </c>
      <c r="K77" s="5">
        <v>5.0999999999999996</v>
      </c>
      <c r="L77" s="5" t="s">
        <v>21</v>
      </c>
      <c r="M77" s="5" t="s">
        <v>73</v>
      </c>
      <c r="N77" s="5" t="s">
        <v>23</v>
      </c>
      <c r="O77" s="5">
        <v>24.31</v>
      </c>
      <c r="P77" s="5" t="s">
        <v>51</v>
      </c>
    </row>
    <row r="78" spans="1:16" x14ac:dyDescent="0.3">
      <c r="A78" s="2" t="s">
        <v>199</v>
      </c>
      <c r="B78" s="3" t="s">
        <v>200</v>
      </c>
      <c r="C78" s="3" t="s">
        <v>65</v>
      </c>
      <c r="D78" s="3" t="s">
        <v>33</v>
      </c>
      <c r="E78" s="3" t="s">
        <v>55</v>
      </c>
      <c r="F78" s="3">
        <v>45917</v>
      </c>
      <c r="G78" s="3">
        <v>83</v>
      </c>
      <c r="H78" s="3">
        <v>133</v>
      </c>
      <c r="I78" s="3">
        <v>74473</v>
      </c>
      <c r="J78" s="3">
        <v>38246</v>
      </c>
      <c r="K78" s="3">
        <v>9.4</v>
      </c>
      <c r="L78" s="3" t="s">
        <v>21</v>
      </c>
      <c r="M78" s="3" t="s">
        <v>41</v>
      </c>
      <c r="N78" s="3" t="s">
        <v>47</v>
      </c>
      <c r="O78" s="3">
        <v>14.15</v>
      </c>
      <c r="P78" s="3" t="s">
        <v>35</v>
      </c>
    </row>
    <row r="79" spans="1:16" x14ac:dyDescent="0.3">
      <c r="A79" s="4" t="s">
        <v>201</v>
      </c>
      <c r="B79" s="5" t="s">
        <v>202</v>
      </c>
      <c r="C79" s="5" t="s">
        <v>65</v>
      </c>
      <c r="D79" s="5" t="s">
        <v>19</v>
      </c>
      <c r="E79" s="5" t="s">
        <v>20</v>
      </c>
      <c r="F79" s="5">
        <v>22883</v>
      </c>
      <c r="G79" s="5">
        <v>153</v>
      </c>
      <c r="H79" s="5">
        <v>200</v>
      </c>
      <c r="I79" s="5">
        <v>85988</v>
      </c>
      <c r="J79" s="5">
        <v>17782</v>
      </c>
      <c r="K79" s="5">
        <v>9</v>
      </c>
      <c r="L79" s="5" t="s">
        <v>21</v>
      </c>
      <c r="M79" s="5" t="s">
        <v>22</v>
      </c>
      <c r="N79" s="5" t="s">
        <v>30</v>
      </c>
      <c r="O79" s="5">
        <v>22.22</v>
      </c>
      <c r="P79" s="5" t="s">
        <v>51</v>
      </c>
    </row>
    <row r="80" spans="1:16" x14ac:dyDescent="0.3">
      <c r="A80" s="2" t="s">
        <v>203</v>
      </c>
      <c r="B80" s="3" t="s">
        <v>204</v>
      </c>
      <c r="C80" s="3" t="s">
        <v>27</v>
      </c>
      <c r="D80" s="3" t="s">
        <v>45</v>
      </c>
      <c r="E80" s="3" t="s">
        <v>38</v>
      </c>
      <c r="F80" s="3">
        <v>44273</v>
      </c>
      <c r="G80" s="3">
        <v>168</v>
      </c>
      <c r="H80" s="3">
        <v>187</v>
      </c>
      <c r="I80" s="3">
        <v>71236</v>
      </c>
      <c r="J80" s="3">
        <v>67996</v>
      </c>
      <c r="K80" s="3">
        <v>9</v>
      </c>
      <c r="L80" s="3" t="s">
        <v>21</v>
      </c>
      <c r="M80" s="3" t="s">
        <v>34</v>
      </c>
      <c r="N80" s="3" t="s">
        <v>23</v>
      </c>
      <c r="O80" s="3">
        <v>20.78</v>
      </c>
      <c r="P80" s="3" t="s">
        <v>51</v>
      </c>
    </row>
    <row r="81" spans="1:16" x14ac:dyDescent="0.3">
      <c r="A81" s="4" t="s">
        <v>205</v>
      </c>
      <c r="B81" s="5" t="s">
        <v>206</v>
      </c>
      <c r="C81" s="5" t="s">
        <v>18</v>
      </c>
      <c r="D81" s="5" t="s">
        <v>33</v>
      </c>
      <c r="E81" s="5" t="s">
        <v>55</v>
      </c>
      <c r="F81" s="5">
        <v>54130</v>
      </c>
      <c r="G81" s="5">
        <v>96</v>
      </c>
      <c r="H81" s="5">
        <v>104</v>
      </c>
      <c r="I81" s="5">
        <v>43412</v>
      </c>
      <c r="J81" s="5">
        <v>9918</v>
      </c>
      <c r="K81" s="5">
        <v>10.7</v>
      </c>
      <c r="L81" s="5" t="s">
        <v>21</v>
      </c>
      <c r="M81" s="5" t="s">
        <v>34</v>
      </c>
      <c r="N81" s="5" t="s">
        <v>47</v>
      </c>
      <c r="O81" s="5">
        <v>9.7200000000000006</v>
      </c>
      <c r="P81" s="5" t="s">
        <v>24</v>
      </c>
    </row>
    <row r="82" spans="1:16" x14ac:dyDescent="0.3">
      <c r="A82" s="2" t="s">
        <v>207</v>
      </c>
      <c r="B82" s="3" t="s">
        <v>208</v>
      </c>
      <c r="C82" s="3" t="s">
        <v>44</v>
      </c>
      <c r="D82" s="3" t="s">
        <v>54</v>
      </c>
      <c r="E82" s="3" t="s">
        <v>70</v>
      </c>
      <c r="F82" s="3">
        <v>51588</v>
      </c>
      <c r="G82" s="3">
        <v>160</v>
      </c>
      <c r="H82" s="3">
        <v>57</v>
      </c>
      <c r="I82" s="3">
        <v>12297</v>
      </c>
      <c r="J82" s="3">
        <v>12730</v>
      </c>
      <c r="K82" s="3">
        <v>8.3000000000000007</v>
      </c>
      <c r="L82" s="3" t="s">
        <v>21</v>
      </c>
      <c r="M82" s="3" t="s">
        <v>34</v>
      </c>
      <c r="N82" s="3" t="s">
        <v>30</v>
      </c>
      <c r="O82" s="3">
        <v>6.87</v>
      </c>
      <c r="P82" s="3" t="s">
        <v>24</v>
      </c>
    </row>
    <row r="83" spans="1:16" x14ac:dyDescent="0.3">
      <c r="A83" s="4" t="s">
        <v>209</v>
      </c>
      <c r="B83" s="5" t="s">
        <v>210</v>
      </c>
      <c r="C83" s="5" t="s">
        <v>18</v>
      </c>
      <c r="D83" s="5" t="s">
        <v>19</v>
      </c>
      <c r="E83" s="5" t="s">
        <v>29</v>
      </c>
      <c r="F83" s="5">
        <v>37089</v>
      </c>
      <c r="G83" s="5">
        <v>100</v>
      </c>
      <c r="H83" s="5">
        <v>187</v>
      </c>
      <c r="I83" s="5">
        <v>67565</v>
      </c>
      <c r="J83" s="5">
        <v>3379</v>
      </c>
      <c r="K83" s="5">
        <v>4.8</v>
      </c>
      <c r="L83" s="5" t="s">
        <v>21</v>
      </c>
      <c r="M83" s="5" t="s">
        <v>22</v>
      </c>
      <c r="N83" s="5" t="s">
        <v>30</v>
      </c>
      <c r="O83" s="5">
        <v>38.96</v>
      </c>
      <c r="P83" s="5" t="s">
        <v>78</v>
      </c>
    </row>
    <row r="84" spans="1:16" x14ac:dyDescent="0.3">
      <c r="A84" s="2" t="s">
        <v>211</v>
      </c>
      <c r="B84" s="3" t="s">
        <v>212</v>
      </c>
      <c r="C84" s="3" t="s">
        <v>65</v>
      </c>
      <c r="D84" s="3" t="s">
        <v>19</v>
      </c>
      <c r="E84" s="3" t="s">
        <v>38</v>
      </c>
      <c r="F84" s="3">
        <v>50847</v>
      </c>
      <c r="G84" s="3">
        <v>141</v>
      </c>
      <c r="H84" s="3">
        <v>42</v>
      </c>
      <c r="I84" s="3">
        <v>70273</v>
      </c>
      <c r="J84" s="3">
        <v>37457</v>
      </c>
      <c r="K84" s="3">
        <v>5</v>
      </c>
      <c r="L84" s="3" t="s">
        <v>21</v>
      </c>
      <c r="M84" s="3" t="s">
        <v>73</v>
      </c>
      <c r="N84" s="3" t="s">
        <v>47</v>
      </c>
      <c r="O84" s="3">
        <v>8.4</v>
      </c>
      <c r="P84" s="3" t="s">
        <v>24</v>
      </c>
    </row>
    <row r="85" spans="1:16" x14ac:dyDescent="0.3">
      <c r="A85" s="4" t="s">
        <v>213</v>
      </c>
      <c r="B85" s="5" t="s">
        <v>214</v>
      </c>
      <c r="C85" s="5" t="s">
        <v>18</v>
      </c>
      <c r="D85" s="5" t="s">
        <v>19</v>
      </c>
      <c r="E85" s="5" t="s">
        <v>29</v>
      </c>
      <c r="F85" s="5">
        <v>42710</v>
      </c>
      <c r="G85" s="5">
        <v>93</v>
      </c>
      <c r="H85" s="5">
        <v>122</v>
      </c>
      <c r="I85" s="5">
        <v>68131</v>
      </c>
      <c r="J85" s="5">
        <v>22514</v>
      </c>
      <c r="K85" s="5">
        <v>7.7</v>
      </c>
      <c r="L85" s="5" t="s">
        <v>21</v>
      </c>
      <c r="M85" s="5" t="s">
        <v>34</v>
      </c>
      <c r="N85" s="5" t="s">
        <v>58</v>
      </c>
      <c r="O85" s="5">
        <v>15.84</v>
      </c>
      <c r="P85" s="5" t="s">
        <v>35</v>
      </c>
    </row>
    <row r="86" spans="1:16" x14ac:dyDescent="0.3">
      <c r="A86" s="2" t="s">
        <v>215</v>
      </c>
      <c r="B86" s="3" t="s">
        <v>216</v>
      </c>
      <c r="C86" s="3" t="s">
        <v>27</v>
      </c>
      <c r="D86" s="3" t="s">
        <v>19</v>
      </c>
      <c r="E86" s="3" t="s">
        <v>61</v>
      </c>
      <c r="F86" s="3">
        <v>38752</v>
      </c>
      <c r="G86" s="3">
        <v>96</v>
      </c>
      <c r="H86" s="3">
        <v>80</v>
      </c>
      <c r="I86" s="3">
        <v>76262</v>
      </c>
      <c r="J86" s="3">
        <v>45894</v>
      </c>
      <c r="K86" s="3">
        <v>7.5</v>
      </c>
      <c r="L86" s="3" t="s">
        <v>21</v>
      </c>
      <c r="M86" s="3" t="s">
        <v>73</v>
      </c>
      <c r="N86" s="3" t="s">
        <v>23</v>
      </c>
      <c r="O86" s="3">
        <v>10.67</v>
      </c>
      <c r="P86" s="3" t="s">
        <v>35</v>
      </c>
    </row>
    <row r="87" spans="1:16" x14ac:dyDescent="0.3">
      <c r="A87" s="4" t="s">
        <v>217</v>
      </c>
      <c r="B87" s="5" t="s">
        <v>218</v>
      </c>
      <c r="C87" s="5" t="s">
        <v>18</v>
      </c>
      <c r="D87" s="5" t="s">
        <v>45</v>
      </c>
      <c r="E87" s="5" t="s">
        <v>29</v>
      </c>
      <c r="F87" s="5">
        <v>27046</v>
      </c>
      <c r="G87" s="5">
        <v>119</v>
      </c>
      <c r="H87" s="5">
        <v>97</v>
      </c>
      <c r="I87" s="5">
        <v>7173</v>
      </c>
      <c r="J87" s="5">
        <v>63851</v>
      </c>
      <c r="K87" s="5">
        <v>6.9</v>
      </c>
      <c r="L87" s="5" t="s">
        <v>21</v>
      </c>
      <c r="M87" s="5" t="s">
        <v>34</v>
      </c>
      <c r="N87" s="5" t="s">
        <v>47</v>
      </c>
      <c r="O87" s="5">
        <v>14.06</v>
      </c>
      <c r="P87" s="5" t="s">
        <v>35</v>
      </c>
    </row>
    <row r="88" spans="1:16" x14ac:dyDescent="0.3">
      <c r="A88" s="2" t="s">
        <v>219</v>
      </c>
      <c r="B88" s="3" t="s">
        <v>220</v>
      </c>
      <c r="C88" s="3" t="s">
        <v>18</v>
      </c>
      <c r="D88" s="3" t="s">
        <v>45</v>
      </c>
      <c r="E88" s="3" t="s">
        <v>70</v>
      </c>
      <c r="F88" s="3">
        <v>29725</v>
      </c>
      <c r="G88" s="3">
        <v>135</v>
      </c>
      <c r="H88" s="3">
        <v>83</v>
      </c>
      <c r="I88" s="3">
        <v>66374</v>
      </c>
      <c r="J88" s="3">
        <v>9400</v>
      </c>
      <c r="K88" s="3">
        <v>10.199999999999999</v>
      </c>
      <c r="L88" s="3" t="s">
        <v>21</v>
      </c>
      <c r="M88" s="3" t="s">
        <v>34</v>
      </c>
      <c r="N88" s="3" t="s">
        <v>58</v>
      </c>
      <c r="O88" s="3">
        <v>8.14</v>
      </c>
      <c r="P88" s="3" t="s">
        <v>24</v>
      </c>
    </row>
    <row r="89" spans="1:16" x14ac:dyDescent="0.3">
      <c r="A89" s="4" t="s">
        <v>221</v>
      </c>
      <c r="B89" s="5" t="s">
        <v>222</v>
      </c>
      <c r="C89" s="5" t="s">
        <v>27</v>
      </c>
      <c r="D89" s="5" t="s">
        <v>33</v>
      </c>
      <c r="E89" s="5" t="s">
        <v>38</v>
      </c>
      <c r="F89" s="5">
        <v>34628</v>
      </c>
      <c r="G89" s="5">
        <v>88</v>
      </c>
      <c r="H89" s="5">
        <v>41</v>
      </c>
      <c r="I89" s="5">
        <v>80953</v>
      </c>
      <c r="J89" s="5">
        <v>39672</v>
      </c>
      <c r="K89" s="5">
        <v>9</v>
      </c>
      <c r="L89" s="5" t="s">
        <v>46</v>
      </c>
      <c r="M89" s="5" t="s">
        <v>73</v>
      </c>
      <c r="N89" s="5" t="s">
        <v>50</v>
      </c>
      <c r="O89" s="5">
        <v>4.5599999999999996</v>
      </c>
      <c r="P89" s="5" t="s">
        <v>24</v>
      </c>
    </row>
    <row r="90" spans="1:16" x14ac:dyDescent="0.3">
      <c r="A90" s="2" t="s">
        <v>223</v>
      </c>
      <c r="B90" s="3" t="s">
        <v>224</v>
      </c>
      <c r="C90" s="3" t="s">
        <v>65</v>
      </c>
      <c r="D90" s="3" t="s">
        <v>33</v>
      </c>
      <c r="E90" s="3" t="s">
        <v>29</v>
      </c>
      <c r="F90" s="3">
        <v>30446</v>
      </c>
      <c r="G90" s="3">
        <v>91</v>
      </c>
      <c r="H90" s="3">
        <v>134</v>
      </c>
      <c r="I90" s="3">
        <v>8551</v>
      </c>
      <c r="J90" s="3">
        <v>20945</v>
      </c>
      <c r="K90" s="3">
        <v>8.6999999999999993</v>
      </c>
      <c r="L90" s="3" t="s">
        <v>21</v>
      </c>
      <c r="M90" s="3" t="s">
        <v>22</v>
      </c>
      <c r="N90" s="3" t="s">
        <v>62</v>
      </c>
      <c r="O90" s="3">
        <v>15.4</v>
      </c>
      <c r="P90" s="3" t="s">
        <v>35</v>
      </c>
    </row>
    <row r="91" spans="1:16" x14ac:dyDescent="0.3">
      <c r="A91" s="4" t="s">
        <v>225</v>
      </c>
      <c r="B91" s="5" t="s">
        <v>226</v>
      </c>
      <c r="C91" s="5" t="s">
        <v>65</v>
      </c>
      <c r="D91" s="5" t="s">
        <v>33</v>
      </c>
      <c r="E91" s="5" t="s">
        <v>38</v>
      </c>
      <c r="F91" s="5">
        <v>31454</v>
      </c>
      <c r="G91" s="5">
        <v>108</v>
      </c>
      <c r="H91" s="5">
        <v>150</v>
      </c>
      <c r="I91" s="5">
        <v>51867</v>
      </c>
      <c r="J91" s="5">
        <v>31155</v>
      </c>
      <c r="K91" s="5">
        <v>6.7</v>
      </c>
      <c r="L91" s="5" t="s">
        <v>21</v>
      </c>
      <c r="M91" s="5" t="s">
        <v>73</v>
      </c>
      <c r="N91" s="5" t="s">
        <v>23</v>
      </c>
      <c r="O91" s="5">
        <v>22.39</v>
      </c>
      <c r="P91" s="5" t="s">
        <v>51</v>
      </c>
    </row>
    <row r="92" spans="1:16" x14ac:dyDescent="0.3">
      <c r="A92" s="2" t="s">
        <v>227</v>
      </c>
      <c r="B92" s="3" t="s">
        <v>228</v>
      </c>
      <c r="C92" s="3" t="s">
        <v>18</v>
      </c>
      <c r="D92" s="3" t="s">
        <v>28</v>
      </c>
      <c r="E92" s="3" t="s">
        <v>55</v>
      </c>
      <c r="F92" s="3">
        <v>24247</v>
      </c>
      <c r="G92" s="3">
        <v>125</v>
      </c>
      <c r="H92" s="3">
        <v>122</v>
      </c>
      <c r="I92" s="3">
        <v>88776</v>
      </c>
      <c r="J92" s="3">
        <v>19285</v>
      </c>
      <c r="K92" s="3">
        <v>8.3000000000000007</v>
      </c>
      <c r="L92" s="3" t="s">
        <v>46</v>
      </c>
      <c r="M92" s="3" t="s">
        <v>34</v>
      </c>
      <c r="N92" s="3" t="s">
        <v>50</v>
      </c>
      <c r="O92" s="3">
        <v>14.7</v>
      </c>
      <c r="P92" s="3" t="s">
        <v>35</v>
      </c>
    </row>
    <row r="93" spans="1:16" x14ac:dyDescent="0.3">
      <c r="A93" s="4" t="s">
        <v>229</v>
      </c>
      <c r="B93" s="5" t="s">
        <v>230</v>
      </c>
      <c r="C93" s="5" t="s">
        <v>18</v>
      </c>
      <c r="D93" s="5" t="s">
        <v>54</v>
      </c>
      <c r="E93" s="5" t="s">
        <v>70</v>
      </c>
      <c r="F93" s="5">
        <v>38309</v>
      </c>
      <c r="G93" s="5">
        <v>165</v>
      </c>
      <c r="H93" s="5">
        <v>126</v>
      </c>
      <c r="I93" s="5">
        <v>21156</v>
      </c>
      <c r="J93" s="5">
        <v>14105</v>
      </c>
      <c r="K93" s="5">
        <v>8.6</v>
      </c>
      <c r="L93" s="5" t="s">
        <v>21</v>
      </c>
      <c r="M93" s="5" t="s">
        <v>34</v>
      </c>
      <c r="N93" s="5" t="s">
        <v>30</v>
      </c>
      <c r="O93" s="5">
        <v>14.65</v>
      </c>
      <c r="P93" s="5" t="s">
        <v>35</v>
      </c>
    </row>
    <row r="94" spans="1:16" x14ac:dyDescent="0.3">
      <c r="A94" s="2" t="s">
        <v>231</v>
      </c>
      <c r="B94" s="3" t="s">
        <v>232</v>
      </c>
      <c r="C94" s="3" t="s">
        <v>65</v>
      </c>
      <c r="D94" s="3" t="s">
        <v>33</v>
      </c>
      <c r="E94" s="3" t="s">
        <v>38</v>
      </c>
      <c r="F94" s="3">
        <v>37344</v>
      </c>
      <c r="G94" s="3">
        <v>178</v>
      </c>
      <c r="H94" s="3">
        <v>179</v>
      </c>
      <c r="I94" s="3">
        <v>47883</v>
      </c>
      <c r="J94" s="3">
        <v>16119</v>
      </c>
      <c r="K94" s="3">
        <v>7.5</v>
      </c>
      <c r="L94" s="3" t="s">
        <v>46</v>
      </c>
      <c r="M94" s="3" t="s">
        <v>73</v>
      </c>
      <c r="N94" s="3" t="s">
        <v>30</v>
      </c>
      <c r="O94" s="3">
        <v>23.87</v>
      </c>
      <c r="P94" s="3" t="s">
        <v>51</v>
      </c>
    </row>
    <row r="95" spans="1:16" x14ac:dyDescent="0.3">
      <c r="A95" s="4" t="s">
        <v>233</v>
      </c>
      <c r="B95" s="5" t="s">
        <v>234</v>
      </c>
      <c r="C95" s="5" t="s">
        <v>18</v>
      </c>
      <c r="D95" s="5" t="s">
        <v>45</v>
      </c>
      <c r="E95" s="5" t="s">
        <v>55</v>
      </c>
      <c r="F95" s="5">
        <v>50191</v>
      </c>
      <c r="G95" s="5">
        <v>90</v>
      </c>
      <c r="H95" s="5">
        <v>156</v>
      </c>
      <c r="I95" s="5">
        <v>25794</v>
      </c>
      <c r="J95" s="5">
        <v>43905</v>
      </c>
      <c r="K95" s="5">
        <v>8.4</v>
      </c>
      <c r="L95" s="5" t="s">
        <v>21</v>
      </c>
      <c r="M95" s="5" t="s">
        <v>41</v>
      </c>
      <c r="N95" s="5" t="s">
        <v>50</v>
      </c>
      <c r="O95" s="5">
        <v>18.57</v>
      </c>
      <c r="P95" s="5" t="s">
        <v>51</v>
      </c>
    </row>
    <row r="96" spans="1:16" x14ac:dyDescent="0.3">
      <c r="A96" s="2" t="s">
        <v>235</v>
      </c>
      <c r="B96" s="3" t="s">
        <v>236</v>
      </c>
      <c r="C96" s="3" t="s">
        <v>44</v>
      </c>
      <c r="D96" s="3" t="s">
        <v>33</v>
      </c>
      <c r="E96" s="3" t="s">
        <v>70</v>
      </c>
      <c r="F96" s="3">
        <v>28354</v>
      </c>
      <c r="G96" s="3">
        <v>103</v>
      </c>
      <c r="H96" s="3">
        <v>149</v>
      </c>
      <c r="I96" s="3">
        <v>37156</v>
      </c>
      <c r="J96" s="3">
        <v>50857</v>
      </c>
      <c r="K96" s="3">
        <v>9.6</v>
      </c>
      <c r="L96" s="3" t="s">
        <v>21</v>
      </c>
      <c r="M96" s="3" t="s">
        <v>41</v>
      </c>
      <c r="N96" s="3" t="s">
        <v>47</v>
      </c>
      <c r="O96" s="3">
        <v>15.52</v>
      </c>
      <c r="P96" s="3" t="s">
        <v>35</v>
      </c>
    </row>
    <row r="97" spans="1:16" x14ac:dyDescent="0.3">
      <c r="A97" s="4" t="s">
        <v>237</v>
      </c>
      <c r="B97" s="5" t="s">
        <v>238</v>
      </c>
      <c r="C97" s="5" t="s">
        <v>44</v>
      </c>
      <c r="D97" s="5" t="s">
        <v>28</v>
      </c>
      <c r="E97" s="5" t="s">
        <v>55</v>
      </c>
      <c r="F97" s="5">
        <v>54331</v>
      </c>
      <c r="G97" s="5">
        <v>139</v>
      </c>
      <c r="H97" s="5">
        <v>149</v>
      </c>
      <c r="I97" s="5">
        <v>61964</v>
      </c>
      <c r="J97" s="5">
        <v>21996</v>
      </c>
      <c r="K97" s="5">
        <v>10.8</v>
      </c>
      <c r="L97" s="5" t="s">
        <v>21</v>
      </c>
      <c r="M97" s="5" t="s">
        <v>41</v>
      </c>
      <c r="N97" s="5" t="s">
        <v>62</v>
      </c>
      <c r="O97" s="5">
        <v>13.8</v>
      </c>
      <c r="P97" s="5" t="s">
        <v>35</v>
      </c>
    </row>
    <row r="98" spans="1:16" x14ac:dyDescent="0.3">
      <c r="A98" s="2" t="s">
        <v>239</v>
      </c>
      <c r="B98" s="3" t="s">
        <v>240</v>
      </c>
      <c r="C98" s="3" t="s">
        <v>65</v>
      </c>
      <c r="D98" s="3" t="s">
        <v>45</v>
      </c>
      <c r="E98" s="3" t="s">
        <v>20</v>
      </c>
      <c r="F98" s="3">
        <v>53952</v>
      </c>
      <c r="G98" s="3">
        <v>94</v>
      </c>
      <c r="H98" s="3">
        <v>199</v>
      </c>
      <c r="I98" s="3">
        <v>60147</v>
      </c>
      <c r="J98" s="3">
        <v>4636</v>
      </c>
      <c r="K98" s="3">
        <v>5.5</v>
      </c>
      <c r="L98" s="3" t="s">
        <v>21</v>
      </c>
      <c r="M98" s="3" t="s">
        <v>34</v>
      </c>
      <c r="N98" s="3" t="s">
        <v>23</v>
      </c>
      <c r="O98" s="3">
        <v>36.18</v>
      </c>
      <c r="P98" s="3" t="s">
        <v>78</v>
      </c>
    </row>
    <row r="99" spans="1:16" x14ac:dyDescent="0.3">
      <c r="A99" s="4" t="s">
        <v>241</v>
      </c>
      <c r="B99" s="5" t="s">
        <v>242</v>
      </c>
      <c r="C99" s="5" t="s">
        <v>44</v>
      </c>
      <c r="D99" s="5" t="s">
        <v>54</v>
      </c>
      <c r="E99" s="5" t="s">
        <v>20</v>
      </c>
      <c r="F99" s="5">
        <v>44293</v>
      </c>
      <c r="G99" s="5">
        <v>136</v>
      </c>
      <c r="H99" s="5">
        <v>60</v>
      </c>
      <c r="I99" s="5">
        <v>68688</v>
      </c>
      <c r="J99" s="5">
        <v>69961</v>
      </c>
      <c r="K99" s="5">
        <v>7.4</v>
      </c>
      <c r="L99" s="5" t="s">
        <v>21</v>
      </c>
      <c r="M99" s="5" t="s">
        <v>34</v>
      </c>
      <c r="N99" s="5" t="s">
        <v>23</v>
      </c>
      <c r="O99" s="5">
        <v>8.11</v>
      </c>
      <c r="P99" s="5" t="s">
        <v>24</v>
      </c>
    </row>
    <row r="100" spans="1:16" x14ac:dyDescent="0.3">
      <c r="A100" s="2" t="s">
        <v>243</v>
      </c>
      <c r="B100" s="3" t="s">
        <v>244</v>
      </c>
      <c r="C100" s="3" t="s">
        <v>18</v>
      </c>
      <c r="D100" s="3" t="s">
        <v>33</v>
      </c>
      <c r="E100" s="3" t="s">
        <v>61</v>
      </c>
      <c r="F100" s="3">
        <v>31736</v>
      </c>
      <c r="G100" s="3">
        <v>106</v>
      </c>
      <c r="H100" s="3">
        <v>189</v>
      </c>
      <c r="I100" s="3">
        <v>59550</v>
      </c>
      <c r="J100" s="3">
        <v>67050</v>
      </c>
      <c r="K100" s="3">
        <v>5.0999999999999996</v>
      </c>
      <c r="L100" s="3" t="s">
        <v>21</v>
      </c>
      <c r="M100" s="3" t="s">
        <v>34</v>
      </c>
      <c r="N100" s="3" t="s">
        <v>47</v>
      </c>
      <c r="O100" s="3">
        <v>37.06</v>
      </c>
      <c r="P100" s="3" t="s">
        <v>78</v>
      </c>
    </row>
    <row r="101" spans="1:16" x14ac:dyDescent="0.3">
      <c r="A101" s="7" t="s">
        <v>245</v>
      </c>
      <c r="B101" s="8" t="s">
        <v>246</v>
      </c>
      <c r="C101" s="8" t="s">
        <v>65</v>
      </c>
      <c r="D101" s="8" t="s">
        <v>19</v>
      </c>
      <c r="E101" s="8" t="s">
        <v>55</v>
      </c>
      <c r="F101" s="8">
        <v>39444</v>
      </c>
      <c r="G101" s="8">
        <v>116</v>
      </c>
      <c r="H101" s="8">
        <v>68</v>
      </c>
      <c r="I101" s="8">
        <v>41200</v>
      </c>
      <c r="J101" s="8">
        <v>62880</v>
      </c>
      <c r="K101" s="8">
        <v>8.8000000000000007</v>
      </c>
      <c r="L101" s="8" t="s">
        <v>21</v>
      </c>
      <c r="M101" s="8" t="s">
        <v>41</v>
      </c>
      <c r="N101" s="8" t="s">
        <v>50</v>
      </c>
      <c r="O101" s="8">
        <v>7.73</v>
      </c>
      <c r="P101" s="8"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1"/>
  <sheetViews>
    <sheetView topLeftCell="C1" workbookViewId="0">
      <selection activeCell="E4" sqref="E4"/>
    </sheetView>
  </sheetViews>
  <sheetFormatPr defaultRowHeight="14.4" x14ac:dyDescent="0.3"/>
  <cols>
    <col min="1" max="1" width="8.88671875" customWidth="1"/>
    <col min="2" max="2" width="17.6640625" bestFit="1" customWidth="1"/>
    <col min="3" max="3" width="9.21875" bestFit="1" customWidth="1"/>
    <col min="4" max="4" width="10.44140625" customWidth="1"/>
    <col min="5" max="5" width="10.109375" customWidth="1"/>
    <col min="6" max="6" width="8" customWidth="1"/>
    <col min="7" max="8" width="12.44140625" customWidth="1"/>
    <col min="9" max="9" width="14.44140625" customWidth="1"/>
    <col min="10" max="10" width="18.5546875" customWidth="1"/>
    <col min="11" max="11" width="12.77734375" customWidth="1"/>
    <col min="12" max="12" width="18.77734375" bestFit="1" customWidth="1"/>
    <col min="13" max="13" width="7.77734375" bestFit="1" customWidth="1"/>
    <col min="14" max="14" width="13.109375" customWidth="1"/>
    <col min="15" max="15" width="16.109375" customWidth="1"/>
    <col min="16" max="16" width="16.6640625" customWidth="1"/>
    <col min="17" max="17" width="15.5546875" customWidth="1"/>
    <col min="18" max="18" width="16.88671875" bestFit="1" customWidth="1"/>
  </cols>
  <sheetData>
    <row r="1" spans="1:18" x14ac:dyDescent="0.3">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247</v>
      </c>
      <c r="R1" s="6" t="s">
        <v>258</v>
      </c>
    </row>
    <row r="2" spans="1:18" x14ac:dyDescent="0.3">
      <c r="A2" t="s">
        <v>16</v>
      </c>
      <c r="B2" t="s">
        <v>17</v>
      </c>
      <c r="C2" t="s">
        <v>18</v>
      </c>
      <c r="D2" t="s">
        <v>19</v>
      </c>
      <c r="E2" t="s">
        <v>20</v>
      </c>
      <c r="F2">
        <v>43370</v>
      </c>
      <c r="G2">
        <v>164</v>
      </c>
      <c r="H2">
        <v>77</v>
      </c>
      <c r="I2">
        <v>38796</v>
      </c>
      <c r="J2">
        <v>56762</v>
      </c>
      <c r="K2">
        <v>8.9</v>
      </c>
      <c r="L2" t="s">
        <v>21</v>
      </c>
      <c r="M2" t="s">
        <v>22</v>
      </c>
      <c r="N2" t="s">
        <v>23</v>
      </c>
      <c r="O2">
        <v>8.65</v>
      </c>
      <c r="P2" t="s">
        <v>24</v>
      </c>
      <c r="Q2" t="str">
        <f>IF(Table1[[#This Row],[Actual Calls]]&gt;=Table1[[#This Row],[Target Calls]],"Achieved","Not Achieved")</f>
        <v>Not Achieved</v>
      </c>
      <c r="R2">
        <f>IF(Table1[[#This Row],[Attendance Status]]="Absent",1,0)</f>
        <v>0</v>
      </c>
    </row>
    <row r="3" spans="1:18" hidden="1" x14ac:dyDescent="0.3">
      <c r="A3" t="s">
        <v>25</v>
      </c>
      <c r="B3" t="s">
        <v>26</v>
      </c>
      <c r="C3" t="s">
        <v>27</v>
      </c>
      <c r="D3" t="s">
        <v>28</v>
      </c>
      <c r="E3" t="s">
        <v>29</v>
      </c>
      <c r="F3">
        <v>47709</v>
      </c>
      <c r="G3">
        <v>146</v>
      </c>
      <c r="H3">
        <v>44</v>
      </c>
      <c r="I3">
        <v>67281</v>
      </c>
      <c r="J3">
        <v>43577</v>
      </c>
      <c r="K3">
        <v>10.7</v>
      </c>
      <c r="L3" t="s">
        <v>21</v>
      </c>
      <c r="M3" t="s">
        <v>22</v>
      </c>
      <c r="N3" t="s">
        <v>30</v>
      </c>
      <c r="O3">
        <v>4.1100000000000003</v>
      </c>
      <c r="P3" t="s">
        <v>24</v>
      </c>
      <c r="Q3" t="str">
        <f>IF(Table1[[#This Row],[Actual Calls]]&gt;=Table1[[#This Row],[Target Calls]],"Achieved","Not Achieved")</f>
        <v>Not Achieved</v>
      </c>
      <c r="R3">
        <f>IF(Table1[[#This Row],[Attendance Status]]="Absent",1,0)</f>
        <v>0</v>
      </c>
    </row>
    <row r="4" spans="1:18" x14ac:dyDescent="0.3">
      <c r="A4" t="s">
        <v>31</v>
      </c>
      <c r="B4" t="s">
        <v>32</v>
      </c>
      <c r="C4" t="s">
        <v>18</v>
      </c>
      <c r="D4" t="s">
        <v>33</v>
      </c>
      <c r="E4" t="s">
        <v>29</v>
      </c>
      <c r="F4">
        <v>47458</v>
      </c>
      <c r="G4">
        <v>145</v>
      </c>
      <c r="H4">
        <v>102</v>
      </c>
      <c r="I4">
        <v>65504</v>
      </c>
      <c r="J4">
        <v>21293</v>
      </c>
      <c r="K4">
        <v>8.1</v>
      </c>
      <c r="L4" t="s">
        <v>21</v>
      </c>
      <c r="M4" t="s">
        <v>34</v>
      </c>
      <c r="N4" t="s">
        <v>30</v>
      </c>
      <c r="O4">
        <v>12.59</v>
      </c>
      <c r="P4" t="s">
        <v>35</v>
      </c>
      <c r="Q4" t="str">
        <f>IF(Table1[[#This Row],[Actual Calls]]&gt;=Table1[[#This Row],[Target Calls]],"Achieved","Not Achieved")</f>
        <v>Not Achieved</v>
      </c>
      <c r="R4">
        <f>IF(Table1[[#This Row],[Attendance Status]]="Absent",1,0)</f>
        <v>0</v>
      </c>
    </row>
    <row r="5" spans="1:18" hidden="1" x14ac:dyDescent="0.3">
      <c r="A5" t="s">
        <v>36</v>
      </c>
      <c r="B5" t="s">
        <v>37</v>
      </c>
      <c r="C5" t="s">
        <v>27</v>
      </c>
      <c r="D5" t="s">
        <v>19</v>
      </c>
      <c r="E5" t="s">
        <v>38</v>
      </c>
      <c r="F5">
        <v>41745</v>
      </c>
      <c r="G5">
        <v>136</v>
      </c>
      <c r="H5">
        <v>128</v>
      </c>
      <c r="I5">
        <v>16486</v>
      </c>
      <c r="J5">
        <v>18586</v>
      </c>
      <c r="K5">
        <v>9.6999999999999993</v>
      </c>
      <c r="L5" t="s">
        <v>21</v>
      </c>
      <c r="M5" t="s">
        <v>22</v>
      </c>
      <c r="N5" t="s">
        <v>23</v>
      </c>
      <c r="O5">
        <v>13.2</v>
      </c>
      <c r="P5" t="s">
        <v>35</v>
      </c>
      <c r="Q5" t="str">
        <f>IF(Table1[[#This Row],[Actual Calls]]&gt;=Table1[[#This Row],[Target Calls]],"Achieved","Not Achieved")</f>
        <v>Not Achieved</v>
      </c>
      <c r="R5">
        <f>IF(Table1[[#This Row],[Attendance Status]]="Absent",1,0)</f>
        <v>0</v>
      </c>
    </row>
    <row r="6" spans="1:18" hidden="1" x14ac:dyDescent="0.3">
      <c r="A6" t="s">
        <v>39</v>
      </c>
      <c r="B6" t="s">
        <v>40</v>
      </c>
      <c r="C6" t="s">
        <v>27</v>
      </c>
      <c r="D6" t="s">
        <v>28</v>
      </c>
      <c r="E6" t="s">
        <v>38</v>
      </c>
      <c r="F6">
        <v>52337</v>
      </c>
      <c r="G6">
        <v>110</v>
      </c>
      <c r="H6">
        <v>137</v>
      </c>
      <c r="I6">
        <v>73806</v>
      </c>
      <c r="J6">
        <v>10387</v>
      </c>
      <c r="K6">
        <v>10.5</v>
      </c>
      <c r="L6" t="s">
        <v>21</v>
      </c>
      <c r="M6" t="s">
        <v>41</v>
      </c>
      <c r="N6" t="s">
        <v>23</v>
      </c>
      <c r="O6">
        <v>13.05</v>
      </c>
      <c r="P6" t="s">
        <v>35</v>
      </c>
      <c r="Q6" t="str">
        <f>IF(Table1[[#This Row],[Actual Calls]]&gt;=Table1[[#This Row],[Target Calls]],"Achieved","Not Achieved")</f>
        <v>Achieved</v>
      </c>
      <c r="R6">
        <f>IF(Table1[[#This Row],[Attendance Status]]="Absent",1,0)</f>
        <v>0</v>
      </c>
    </row>
    <row r="7" spans="1:18" hidden="1" x14ac:dyDescent="0.3">
      <c r="A7" t="s">
        <v>42</v>
      </c>
      <c r="B7" t="s">
        <v>43</v>
      </c>
      <c r="C7" t="s">
        <v>44</v>
      </c>
      <c r="D7" t="s">
        <v>45</v>
      </c>
      <c r="E7" t="s">
        <v>38</v>
      </c>
      <c r="F7">
        <v>36118</v>
      </c>
      <c r="G7">
        <v>121</v>
      </c>
      <c r="H7">
        <v>73</v>
      </c>
      <c r="I7">
        <v>84947</v>
      </c>
      <c r="J7">
        <v>51169</v>
      </c>
      <c r="K7">
        <v>5.8</v>
      </c>
      <c r="L7" t="s">
        <v>46</v>
      </c>
      <c r="M7" t="s">
        <v>22</v>
      </c>
      <c r="N7" t="s">
        <v>47</v>
      </c>
      <c r="O7">
        <v>12.59</v>
      </c>
      <c r="P7" t="s">
        <v>35</v>
      </c>
      <c r="Q7" t="str">
        <f>IF(Table1[[#This Row],[Actual Calls]]&gt;=Table1[[#This Row],[Target Calls]],"Achieved","Not Achieved")</f>
        <v>Not Achieved</v>
      </c>
      <c r="R7">
        <f>IF(Table1[[#This Row],[Attendance Status]]="Absent",1,0)</f>
        <v>1</v>
      </c>
    </row>
    <row r="8" spans="1:18" hidden="1" x14ac:dyDescent="0.3">
      <c r="A8" t="s">
        <v>48</v>
      </c>
      <c r="B8" t="s">
        <v>49</v>
      </c>
      <c r="C8" t="s">
        <v>27</v>
      </c>
      <c r="D8" t="s">
        <v>33</v>
      </c>
      <c r="E8" t="s">
        <v>20</v>
      </c>
      <c r="F8">
        <v>38171</v>
      </c>
      <c r="G8">
        <v>121</v>
      </c>
      <c r="H8">
        <v>165</v>
      </c>
      <c r="I8">
        <v>58681</v>
      </c>
      <c r="J8">
        <v>47077</v>
      </c>
      <c r="K8">
        <v>7.3</v>
      </c>
      <c r="L8" t="s">
        <v>46</v>
      </c>
      <c r="M8" t="s">
        <v>41</v>
      </c>
      <c r="N8" t="s">
        <v>50</v>
      </c>
      <c r="O8">
        <v>22.6</v>
      </c>
      <c r="P8" t="s">
        <v>51</v>
      </c>
      <c r="Q8" t="str">
        <f>IF(Table1[[#This Row],[Actual Calls]]&gt;=Table1[[#This Row],[Target Calls]],"Achieved","Not Achieved")</f>
        <v>Achieved</v>
      </c>
      <c r="R8">
        <f>IF(Table1[[#This Row],[Attendance Status]]="Absent",1,0)</f>
        <v>1</v>
      </c>
    </row>
    <row r="9" spans="1:18" hidden="1" x14ac:dyDescent="0.3">
      <c r="A9" t="s">
        <v>52</v>
      </c>
      <c r="B9" t="s">
        <v>53</v>
      </c>
      <c r="C9" t="s">
        <v>44</v>
      </c>
      <c r="D9" t="s">
        <v>54</v>
      </c>
      <c r="E9" t="s">
        <v>55</v>
      </c>
      <c r="F9">
        <v>33772</v>
      </c>
      <c r="G9">
        <v>155</v>
      </c>
      <c r="H9">
        <v>123</v>
      </c>
      <c r="I9">
        <v>26495</v>
      </c>
      <c r="J9">
        <v>27017</v>
      </c>
      <c r="K9">
        <v>6.3</v>
      </c>
      <c r="L9" t="s">
        <v>21</v>
      </c>
      <c r="M9" t="s">
        <v>34</v>
      </c>
      <c r="N9" t="s">
        <v>30</v>
      </c>
      <c r="O9">
        <v>19.52</v>
      </c>
      <c r="P9" t="s">
        <v>51</v>
      </c>
      <c r="Q9" t="str">
        <f>IF(Table1[[#This Row],[Actual Calls]]&gt;=Table1[[#This Row],[Target Calls]],"Achieved","Not Achieved")</f>
        <v>Not Achieved</v>
      </c>
      <c r="R9">
        <f>IF(Table1[[#This Row],[Attendance Status]]="Absent",1,0)</f>
        <v>0</v>
      </c>
    </row>
    <row r="10" spans="1:18" x14ac:dyDescent="0.3">
      <c r="A10" t="s">
        <v>56</v>
      </c>
      <c r="B10" t="s">
        <v>57</v>
      </c>
      <c r="C10" t="s">
        <v>18</v>
      </c>
      <c r="D10" t="s">
        <v>54</v>
      </c>
      <c r="E10" t="s">
        <v>20</v>
      </c>
      <c r="F10">
        <v>51644</v>
      </c>
      <c r="G10">
        <v>94</v>
      </c>
      <c r="H10">
        <v>167</v>
      </c>
      <c r="I10">
        <v>19675</v>
      </c>
      <c r="J10">
        <v>33643</v>
      </c>
      <c r="K10">
        <v>7.7</v>
      </c>
      <c r="L10" t="s">
        <v>46</v>
      </c>
      <c r="M10" t="s">
        <v>22</v>
      </c>
      <c r="N10" t="s">
        <v>58</v>
      </c>
      <c r="O10">
        <v>21.69</v>
      </c>
      <c r="P10" t="s">
        <v>51</v>
      </c>
      <c r="Q10" t="str">
        <f>IF(Table1[[#This Row],[Actual Calls]]&gt;=Table1[[#This Row],[Target Calls]],"Achieved","Not Achieved")</f>
        <v>Achieved</v>
      </c>
      <c r="R10">
        <f>IF(Table1[[#This Row],[Attendance Status]]="Absent",1,0)</f>
        <v>1</v>
      </c>
    </row>
    <row r="11" spans="1:18" x14ac:dyDescent="0.3">
      <c r="A11" t="s">
        <v>59</v>
      </c>
      <c r="B11" t="s">
        <v>60</v>
      </c>
      <c r="C11" t="s">
        <v>18</v>
      </c>
      <c r="D11" t="s">
        <v>19</v>
      </c>
      <c r="E11" t="s">
        <v>61</v>
      </c>
      <c r="F11">
        <v>43215</v>
      </c>
      <c r="G11">
        <v>145</v>
      </c>
      <c r="H11">
        <v>114</v>
      </c>
      <c r="I11">
        <v>58055</v>
      </c>
      <c r="J11">
        <v>37213</v>
      </c>
      <c r="K11">
        <v>5.4</v>
      </c>
      <c r="L11" t="s">
        <v>21</v>
      </c>
      <c r="M11" t="s">
        <v>34</v>
      </c>
      <c r="N11" t="s">
        <v>62</v>
      </c>
      <c r="O11">
        <v>21.11</v>
      </c>
      <c r="P11" t="s">
        <v>51</v>
      </c>
      <c r="Q11" t="str">
        <f>IF(Table1[[#This Row],[Actual Calls]]&gt;=Table1[[#This Row],[Target Calls]],"Achieved","Not Achieved")</f>
        <v>Not Achieved</v>
      </c>
      <c r="R11">
        <f>IF(Table1[[#This Row],[Attendance Status]]="Absent",1,0)</f>
        <v>0</v>
      </c>
    </row>
    <row r="12" spans="1:18" hidden="1" x14ac:dyDescent="0.3">
      <c r="A12" t="s">
        <v>63</v>
      </c>
      <c r="B12" t="s">
        <v>64</v>
      </c>
      <c r="C12" t="s">
        <v>65</v>
      </c>
      <c r="D12" t="s">
        <v>28</v>
      </c>
      <c r="E12" t="s">
        <v>61</v>
      </c>
      <c r="F12">
        <v>26214</v>
      </c>
      <c r="G12">
        <v>175</v>
      </c>
      <c r="H12">
        <v>104</v>
      </c>
      <c r="I12">
        <v>23112</v>
      </c>
      <c r="J12">
        <v>20169</v>
      </c>
      <c r="K12">
        <v>10.4</v>
      </c>
      <c r="L12" t="s">
        <v>21</v>
      </c>
      <c r="M12" t="s">
        <v>41</v>
      </c>
      <c r="N12" t="s">
        <v>47</v>
      </c>
      <c r="O12">
        <v>10</v>
      </c>
      <c r="P12" t="s">
        <v>35</v>
      </c>
      <c r="Q12" t="str">
        <f>IF(Table1[[#This Row],[Actual Calls]]&gt;=Table1[[#This Row],[Target Calls]],"Achieved","Not Achieved")</f>
        <v>Not Achieved</v>
      </c>
      <c r="R12">
        <f>IF(Table1[[#This Row],[Attendance Status]]="Absent",1,0)</f>
        <v>0</v>
      </c>
    </row>
    <row r="13" spans="1:18" x14ac:dyDescent="0.3">
      <c r="A13" t="s">
        <v>66</v>
      </c>
      <c r="B13" t="s">
        <v>67</v>
      </c>
      <c r="C13" t="s">
        <v>18</v>
      </c>
      <c r="D13" t="s">
        <v>45</v>
      </c>
      <c r="E13" t="s">
        <v>20</v>
      </c>
      <c r="F13">
        <v>50611</v>
      </c>
      <c r="G13">
        <v>93</v>
      </c>
      <c r="H13">
        <v>83</v>
      </c>
      <c r="I13">
        <v>73356</v>
      </c>
      <c r="J13">
        <v>21990</v>
      </c>
      <c r="K13">
        <v>8</v>
      </c>
      <c r="L13" t="s">
        <v>21</v>
      </c>
      <c r="M13" t="s">
        <v>34</v>
      </c>
      <c r="N13" t="s">
        <v>30</v>
      </c>
      <c r="O13">
        <v>10.38</v>
      </c>
      <c r="P13" t="s">
        <v>35</v>
      </c>
      <c r="Q13" t="str">
        <f>IF(Table1[[#This Row],[Actual Calls]]&gt;=Table1[[#This Row],[Target Calls]],"Achieved","Not Achieved")</f>
        <v>Not Achieved</v>
      </c>
      <c r="R13">
        <f>IF(Table1[[#This Row],[Attendance Status]]="Absent",1,0)</f>
        <v>0</v>
      </c>
    </row>
    <row r="14" spans="1:18" hidden="1" x14ac:dyDescent="0.3">
      <c r="A14" t="s">
        <v>68</v>
      </c>
      <c r="B14" t="s">
        <v>69</v>
      </c>
      <c r="C14" t="s">
        <v>65</v>
      </c>
      <c r="D14" t="s">
        <v>33</v>
      </c>
      <c r="E14" t="s">
        <v>70</v>
      </c>
      <c r="F14">
        <v>23439</v>
      </c>
      <c r="G14">
        <v>88</v>
      </c>
      <c r="H14">
        <v>48</v>
      </c>
      <c r="I14">
        <v>46363</v>
      </c>
      <c r="J14">
        <v>9469</v>
      </c>
      <c r="K14">
        <v>9</v>
      </c>
      <c r="L14" t="s">
        <v>21</v>
      </c>
      <c r="M14" t="s">
        <v>41</v>
      </c>
      <c r="N14" t="s">
        <v>50</v>
      </c>
      <c r="O14">
        <v>5.33</v>
      </c>
      <c r="P14" t="s">
        <v>24</v>
      </c>
      <c r="Q14" t="str">
        <f>IF(Table1[[#This Row],[Actual Calls]]&gt;=Table1[[#This Row],[Target Calls]],"Achieved","Not Achieved")</f>
        <v>Not Achieved</v>
      </c>
      <c r="R14">
        <f>IF(Table1[[#This Row],[Attendance Status]]="Absent",1,0)</f>
        <v>0</v>
      </c>
    </row>
    <row r="15" spans="1:18" hidden="1" x14ac:dyDescent="0.3">
      <c r="A15" t="s">
        <v>71</v>
      </c>
      <c r="B15" t="s">
        <v>72</v>
      </c>
      <c r="C15" t="s">
        <v>44</v>
      </c>
      <c r="D15" t="s">
        <v>54</v>
      </c>
      <c r="E15" t="s">
        <v>29</v>
      </c>
      <c r="F15">
        <v>51301</v>
      </c>
      <c r="G15">
        <v>167</v>
      </c>
      <c r="H15">
        <v>176</v>
      </c>
      <c r="I15">
        <v>83102</v>
      </c>
      <c r="J15">
        <v>36074</v>
      </c>
      <c r="K15">
        <v>10.8</v>
      </c>
      <c r="L15" t="s">
        <v>46</v>
      </c>
      <c r="M15" t="s">
        <v>73</v>
      </c>
      <c r="N15" t="s">
        <v>50</v>
      </c>
      <c r="O15">
        <v>16.3</v>
      </c>
      <c r="P15" t="s">
        <v>35</v>
      </c>
      <c r="Q15" t="str">
        <f>IF(Table1[[#This Row],[Actual Calls]]&gt;=Table1[[#This Row],[Target Calls]],"Achieved","Not Achieved")</f>
        <v>Achieved</v>
      </c>
      <c r="R15">
        <f>IF(Table1[[#This Row],[Attendance Status]]="Absent",1,0)</f>
        <v>1</v>
      </c>
    </row>
    <row r="16" spans="1:18" x14ac:dyDescent="0.3">
      <c r="A16" t="s">
        <v>74</v>
      </c>
      <c r="B16" t="s">
        <v>75</v>
      </c>
      <c r="C16" t="s">
        <v>18</v>
      </c>
      <c r="D16" t="s">
        <v>54</v>
      </c>
      <c r="E16" t="s">
        <v>70</v>
      </c>
      <c r="F16">
        <v>42661</v>
      </c>
      <c r="G16">
        <v>118</v>
      </c>
      <c r="H16">
        <v>62</v>
      </c>
      <c r="I16">
        <v>7203</v>
      </c>
      <c r="J16">
        <v>65096</v>
      </c>
      <c r="K16">
        <v>5</v>
      </c>
      <c r="L16" t="s">
        <v>21</v>
      </c>
      <c r="M16" t="s">
        <v>22</v>
      </c>
      <c r="N16" t="s">
        <v>47</v>
      </c>
      <c r="O16">
        <v>12.4</v>
      </c>
      <c r="P16" t="s">
        <v>35</v>
      </c>
      <c r="Q16" t="str">
        <f>IF(Table1[[#This Row],[Actual Calls]]&gt;=Table1[[#This Row],[Target Calls]],"Achieved","Not Achieved")</f>
        <v>Not Achieved</v>
      </c>
      <c r="R16">
        <f>IF(Table1[[#This Row],[Attendance Status]]="Absent",1,0)</f>
        <v>0</v>
      </c>
    </row>
    <row r="17" spans="1:18" x14ac:dyDescent="0.3">
      <c r="A17" t="s">
        <v>76</v>
      </c>
      <c r="B17" t="s">
        <v>77</v>
      </c>
      <c r="C17" t="s">
        <v>18</v>
      </c>
      <c r="D17" t="s">
        <v>19</v>
      </c>
      <c r="E17" t="s">
        <v>55</v>
      </c>
      <c r="F17">
        <v>35528</v>
      </c>
      <c r="G17">
        <v>139</v>
      </c>
      <c r="H17">
        <v>157</v>
      </c>
      <c r="I17">
        <v>81852</v>
      </c>
      <c r="J17">
        <v>9813</v>
      </c>
      <c r="K17">
        <v>5.5</v>
      </c>
      <c r="L17" t="s">
        <v>21</v>
      </c>
      <c r="M17" t="s">
        <v>73</v>
      </c>
      <c r="N17" t="s">
        <v>47</v>
      </c>
      <c r="O17">
        <v>28.55</v>
      </c>
      <c r="P17" t="s">
        <v>78</v>
      </c>
      <c r="Q17" t="str">
        <f>IF(Table1[[#This Row],[Actual Calls]]&gt;=Table1[[#This Row],[Target Calls]],"Achieved","Not Achieved")</f>
        <v>Achieved</v>
      </c>
      <c r="R17">
        <f>IF(Table1[[#This Row],[Attendance Status]]="Absent",1,0)</f>
        <v>0</v>
      </c>
    </row>
    <row r="18" spans="1:18" hidden="1" x14ac:dyDescent="0.3">
      <c r="A18" t="s">
        <v>79</v>
      </c>
      <c r="B18" t="s">
        <v>80</v>
      </c>
      <c r="C18" t="s">
        <v>44</v>
      </c>
      <c r="D18" t="s">
        <v>54</v>
      </c>
      <c r="E18" t="s">
        <v>38</v>
      </c>
      <c r="F18">
        <v>26588</v>
      </c>
      <c r="G18">
        <v>113</v>
      </c>
      <c r="H18">
        <v>70</v>
      </c>
      <c r="I18">
        <v>21558</v>
      </c>
      <c r="J18">
        <v>67387</v>
      </c>
      <c r="K18">
        <v>6.6</v>
      </c>
      <c r="L18" t="s">
        <v>21</v>
      </c>
      <c r="M18" t="s">
        <v>22</v>
      </c>
      <c r="N18" t="s">
        <v>58</v>
      </c>
      <c r="O18">
        <v>10.61</v>
      </c>
      <c r="P18" t="s">
        <v>35</v>
      </c>
      <c r="Q18" t="str">
        <f>IF(Table1[[#This Row],[Actual Calls]]&gt;=Table1[[#This Row],[Target Calls]],"Achieved","Not Achieved")</f>
        <v>Not Achieved</v>
      </c>
      <c r="R18">
        <f>IF(Table1[[#This Row],[Attendance Status]]="Absent",1,0)</f>
        <v>0</v>
      </c>
    </row>
    <row r="19" spans="1:18" hidden="1" x14ac:dyDescent="0.3">
      <c r="A19" t="s">
        <v>81</v>
      </c>
      <c r="B19" t="s">
        <v>82</v>
      </c>
      <c r="C19" t="s">
        <v>27</v>
      </c>
      <c r="D19" t="s">
        <v>28</v>
      </c>
      <c r="E19" t="s">
        <v>20</v>
      </c>
      <c r="F19">
        <v>39494</v>
      </c>
      <c r="G19">
        <v>132</v>
      </c>
      <c r="H19">
        <v>146</v>
      </c>
      <c r="I19">
        <v>86177</v>
      </c>
      <c r="J19">
        <v>19053</v>
      </c>
      <c r="K19">
        <v>4.9000000000000004</v>
      </c>
      <c r="L19" t="s">
        <v>21</v>
      </c>
      <c r="M19" t="s">
        <v>22</v>
      </c>
      <c r="N19" t="s">
        <v>30</v>
      </c>
      <c r="O19">
        <v>29.8</v>
      </c>
      <c r="P19" t="s">
        <v>78</v>
      </c>
      <c r="Q19" t="str">
        <f>IF(Table1[[#This Row],[Actual Calls]]&gt;=Table1[[#This Row],[Target Calls]],"Achieved","Not Achieved")</f>
        <v>Achieved</v>
      </c>
      <c r="R19">
        <f>IF(Table1[[#This Row],[Attendance Status]]="Absent",1,0)</f>
        <v>0</v>
      </c>
    </row>
    <row r="20" spans="1:18" x14ac:dyDescent="0.3">
      <c r="A20" t="s">
        <v>83</v>
      </c>
      <c r="B20" t="s">
        <v>84</v>
      </c>
      <c r="C20" t="s">
        <v>18</v>
      </c>
      <c r="D20" t="s">
        <v>28</v>
      </c>
      <c r="E20" t="s">
        <v>38</v>
      </c>
      <c r="F20">
        <v>41687</v>
      </c>
      <c r="G20">
        <v>163</v>
      </c>
      <c r="H20">
        <v>106</v>
      </c>
      <c r="I20">
        <v>28563</v>
      </c>
      <c r="J20">
        <v>37965</v>
      </c>
      <c r="K20">
        <v>9.8000000000000007</v>
      </c>
      <c r="L20" t="s">
        <v>21</v>
      </c>
      <c r="M20" t="s">
        <v>73</v>
      </c>
      <c r="N20" t="s">
        <v>30</v>
      </c>
      <c r="O20">
        <v>10.82</v>
      </c>
      <c r="P20" t="s">
        <v>35</v>
      </c>
      <c r="Q20" t="str">
        <f>IF(Table1[[#This Row],[Actual Calls]]&gt;=Table1[[#This Row],[Target Calls]],"Achieved","Not Achieved")</f>
        <v>Not Achieved</v>
      </c>
      <c r="R20">
        <f>IF(Table1[[#This Row],[Attendance Status]]="Absent",1,0)</f>
        <v>0</v>
      </c>
    </row>
    <row r="21" spans="1:18" hidden="1" x14ac:dyDescent="0.3">
      <c r="A21" t="s">
        <v>85</v>
      </c>
      <c r="B21" t="s">
        <v>86</v>
      </c>
      <c r="C21" t="s">
        <v>27</v>
      </c>
      <c r="D21" t="s">
        <v>45</v>
      </c>
      <c r="E21" t="s">
        <v>29</v>
      </c>
      <c r="F21">
        <v>42126</v>
      </c>
      <c r="G21">
        <v>163</v>
      </c>
      <c r="H21">
        <v>169</v>
      </c>
      <c r="I21">
        <v>27745</v>
      </c>
      <c r="J21">
        <v>36812</v>
      </c>
      <c r="K21">
        <v>10.9</v>
      </c>
      <c r="L21" t="s">
        <v>46</v>
      </c>
      <c r="M21" t="s">
        <v>41</v>
      </c>
      <c r="N21" t="s">
        <v>23</v>
      </c>
      <c r="O21">
        <v>15.5</v>
      </c>
      <c r="P21" t="s">
        <v>35</v>
      </c>
      <c r="Q21" t="str">
        <f>IF(Table1[[#This Row],[Actual Calls]]&gt;=Table1[[#This Row],[Target Calls]],"Achieved","Not Achieved")</f>
        <v>Achieved</v>
      </c>
      <c r="R21">
        <f>IF(Table1[[#This Row],[Attendance Status]]="Absent",1,0)</f>
        <v>1</v>
      </c>
    </row>
    <row r="22" spans="1:18" hidden="1" x14ac:dyDescent="0.3">
      <c r="A22" t="s">
        <v>87</v>
      </c>
      <c r="B22" t="s">
        <v>88</v>
      </c>
      <c r="C22" t="s">
        <v>44</v>
      </c>
      <c r="D22" t="s">
        <v>33</v>
      </c>
      <c r="E22" t="s">
        <v>61</v>
      </c>
      <c r="F22">
        <v>35496</v>
      </c>
      <c r="G22">
        <v>180</v>
      </c>
      <c r="H22">
        <v>138</v>
      </c>
      <c r="I22">
        <v>42130</v>
      </c>
      <c r="J22">
        <v>26066</v>
      </c>
      <c r="K22">
        <v>10</v>
      </c>
      <c r="L22" t="s">
        <v>21</v>
      </c>
      <c r="M22" t="s">
        <v>73</v>
      </c>
      <c r="N22" t="s">
        <v>30</v>
      </c>
      <c r="O22">
        <v>13.8</v>
      </c>
      <c r="P22" t="s">
        <v>35</v>
      </c>
      <c r="Q22" t="str">
        <f>IF(Table1[[#This Row],[Actual Calls]]&gt;=Table1[[#This Row],[Target Calls]],"Achieved","Not Achieved")</f>
        <v>Not Achieved</v>
      </c>
      <c r="R22">
        <f>IF(Table1[[#This Row],[Attendance Status]]="Absent",1,0)</f>
        <v>0</v>
      </c>
    </row>
    <row r="23" spans="1:18" hidden="1" x14ac:dyDescent="0.3">
      <c r="A23" t="s">
        <v>89</v>
      </c>
      <c r="B23" t="s">
        <v>90</v>
      </c>
      <c r="C23" t="s">
        <v>27</v>
      </c>
      <c r="D23" t="s">
        <v>19</v>
      </c>
      <c r="E23" t="s">
        <v>20</v>
      </c>
      <c r="F23">
        <v>44244</v>
      </c>
      <c r="G23">
        <v>166</v>
      </c>
      <c r="H23">
        <v>99</v>
      </c>
      <c r="I23">
        <v>29910</v>
      </c>
      <c r="J23">
        <v>26221</v>
      </c>
      <c r="K23">
        <v>9.6999999999999993</v>
      </c>
      <c r="L23" t="s">
        <v>21</v>
      </c>
      <c r="M23" t="s">
        <v>73</v>
      </c>
      <c r="N23" t="s">
        <v>62</v>
      </c>
      <c r="O23">
        <v>10.210000000000001</v>
      </c>
      <c r="P23" t="s">
        <v>35</v>
      </c>
      <c r="Q23" t="str">
        <f>IF(Table1[[#This Row],[Actual Calls]]&gt;=Table1[[#This Row],[Target Calls]],"Achieved","Not Achieved")</f>
        <v>Not Achieved</v>
      </c>
      <c r="R23">
        <f>IF(Table1[[#This Row],[Attendance Status]]="Absent",1,0)</f>
        <v>0</v>
      </c>
    </row>
    <row r="24" spans="1:18" hidden="1" x14ac:dyDescent="0.3">
      <c r="A24" t="s">
        <v>91</v>
      </c>
      <c r="B24" t="s">
        <v>92</v>
      </c>
      <c r="C24" t="s">
        <v>27</v>
      </c>
      <c r="D24" t="s">
        <v>19</v>
      </c>
      <c r="E24" t="s">
        <v>20</v>
      </c>
      <c r="F24">
        <v>35609</v>
      </c>
      <c r="G24">
        <v>107</v>
      </c>
      <c r="H24">
        <v>46</v>
      </c>
      <c r="I24">
        <v>84973</v>
      </c>
      <c r="J24">
        <v>33500</v>
      </c>
      <c r="K24">
        <v>8.6</v>
      </c>
      <c r="L24" t="s">
        <v>46</v>
      </c>
      <c r="M24" t="s">
        <v>34</v>
      </c>
      <c r="N24" t="s">
        <v>47</v>
      </c>
      <c r="O24">
        <v>5.35</v>
      </c>
      <c r="P24" t="s">
        <v>24</v>
      </c>
      <c r="Q24" t="str">
        <f>IF(Table1[[#This Row],[Actual Calls]]&gt;=Table1[[#This Row],[Target Calls]],"Achieved","Not Achieved")</f>
        <v>Not Achieved</v>
      </c>
      <c r="R24">
        <f>IF(Table1[[#This Row],[Attendance Status]]="Absent",1,0)</f>
        <v>1</v>
      </c>
    </row>
    <row r="25" spans="1:18" hidden="1" x14ac:dyDescent="0.3">
      <c r="A25" t="s">
        <v>93</v>
      </c>
      <c r="B25" t="s">
        <v>94</v>
      </c>
      <c r="C25" t="s">
        <v>65</v>
      </c>
      <c r="D25" t="s">
        <v>28</v>
      </c>
      <c r="E25" t="s">
        <v>61</v>
      </c>
      <c r="F25">
        <v>26718</v>
      </c>
      <c r="G25">
        <v>135</v>
      </c>
      <c r="H25">
        <v>99</v>
      </c>
      <c r="I25">
        <v>43981</v>
      </c>
      <c r="J25">
        <v>4865</v>
      </c>
      <c r="K25">
        <v>5.8</v>
      </c>
      <c r="L25" t="s">
        <v>21</v>
      </c>
      <c r="M25" t="s">
        <v>41</v>
      </c>
      <c r="N25" t="s">
        <v>30</v>
      </c>
      <c r="O25">
        <v>17.07</v>
      </c>
      <c r="P25" t="s">
        <v>35</v>
      </c>
      <c r="Q25" t="str">
        <f>IF(Table1[[#This Row],[Actual Calls]]&gt;=Table1[[#This Row],[Target Calls]],"Achieved","Not Achieved")</f>
        <v>Not Achieved</v>
      </c>
      <c r="R25">
        <f>IF(Table1[[#This Row],[Attendance Status]]="Absent",1,0)</f>
        <v>0</v>
      </c>
    </row>
    <row r="26" spans="1:18" x14ac:dyDescent="0.3">
      <c r="A26" t="s">
        <v>95</v>
      </c>
      <c r="B26" t="s">
        <v>96</v>
      </c>
      <c r="C26" t="s">
        <v>18</v>
      </c>
      <c r="D26" t="s">
        <v>19</v>
      </c>
      <c r="E26" t="s">
        <v>38</v>
      </c>
      <c r="F26">
        <v>26864</v>
      </c>
      <c r="G26">
        <v>124</v>
      </c>
      <c r="H26">
        <v>139</v>
      </c>
      <c r="I26">
        <v>39806</v>
      </c>
      <c r="J26">
        <v>20846</v>
      </c>
      <c r="K26">
        <v>10.4</v>
      </c>
      <c r="L26" t="s">
        <v>46</v>
      </c>
      <c r="M26" t="s">
        <v>34</v>
      </c>
      <c r="N26" t="s">
        <v>30</v>
      </c>
      <c r="O26">
        <v>13.37</v>
      </c>
      <c r="P26" t="s">
        <v>35</v>
      </c>
      <c r="Q26" t="str">
        <f>IF(Table1[[#This Row],[Actual Calls]]&gt;=Table1[[#This Row],[Target Calls]],"Achieved","Not Achieved")</f>
        <v>Achieved</v>
      </c>
      <c r="R26">
        <f>IF(Table1[[#This Row],[Attendance Status]]="Absent",1,0)</f>
        <v>1</v>
      </c>
    </row>
    <row r="27" spans="1:18" hidden="1" x14ac:dyDescent="0.3">
      <c r="A27" t="s">
        <v>97</v>
      </c>
      <c r="B27" t="s">
        <v>98</v>
      </c>
      <c r="C27" t="s">
        <v>44</v>
      </c>
      <c r="D27" t="s">
        <v>45</v>
      </c>
      <c r="E27" t="s">
        <v>55</v>
      </c>
      <c r="F27">
        <v>48801</v>
      </c>
      <c r="G27">
        <v>93</v>
      </c>
      <c r="H27">
        <v>86</v>
      </c>
      <c r="I27">
        <v>72548</v>
      </c>
      <c r="J27">
        <v>10170</v>
      </c>
      <c r="K27">
        <v>6.4</v>
      </c>
      <c r="L27" t="s">
        <v>21</v>
      </c>
      <c r="M27" t="s">
        <v>41</v>
      </c>
      <c r="N27" t="s">
        <v>50</v>
      </c>
      <c r="O27">
        <v>13.44</v>
      </c>
      <c r="P27" t="s">
        <v>35</v>
      </c>
      <c r="Q27" t="str">
        <f>IF(Table1[[#This Row],[Actual Calls]]&gt;=Table1[[#This Row],[Target Calls]],"Achieved","Not Achieved")</f>
        <v>Not Achieved</v>
      </c>
      <c r="R27">
        <f>IF(Table1[[#This Row],[Attendance Status]]="Absent",1,0)</f>
        <v>0</v>
      </c>
    </row>
    <row r="28" spans="1:18" hidden="1" x14ac:dyDescent="0.3">
      <c r="A28" t="s">
        <v>99</v>
      </c>
      <c r="B28" t="s">
        <v>100</v>
      </c>
      <c r="C28" t="s">
        <v>27</v>
      </c>
      <c r="D28" t="s">
        <v>19</v>
      </c>
      <c r="E28" t="s">
        <v>70</v>
      </c>
      <c r="F28">
        <v>27836</v>
      </c>
      <c r="G28">
        <v>145</v>
      </c>
      <c r="H28">
        <v>91</v>
      </c>
      <c r="I28">
        <v>77073</v>
      </c>
      <c r="J28">
        <v>56146</v>
      </c>
      <c r="K28">
        <v>10.5</v>
      </c>
      <c r="L28" t="s">
        <v>21</v>
      </c>
      <c r="M28" t="s">
        <v>41</v>
      </c>
      <c r="N28" t="s">
        <v>62</v>
      </c>
      <c r="O28">
        <v>8.67</v>
      </c>
      <c r="P28" t="s">
        <v>24</v>
      </c>
      <c r="Q28" t="str">
        <f>IF(Table1[[#This Row],[Actual Calls]]&gt;=Table1[[#This Row],[Target Calls]],"Achieved","Not Achieved")</f>
        <v>Not Achieved</v>
      </c>
      <c r="R28">
        <f>IF(Table1[[#This Row],[Attendance Status]]="Absent",1,0)</f>
        <v>0</v>
      </c>
    </row>
    <row r="29" spans="1:18" x14ac:dyDescent="0.3">
      <c r="A29" t="s">
        <v>101</v>
      </c>
      <c r="B29" t="s">
        <v>102</v>
      </c>
      <c r="C29" t="s">
        <v>18</v>
      </c>
      <c r="D29" t="s">
        <v>33</v>
      </c>
      <c r="E29" t="s">
        <v>55</v>
      </c>
      <c r="F29">
        <v>24017</v>
      </c>
      <c r="G29">
        <v>156</v>
      </c>
      <c r="H29">
        <v>101</v>
      </c>
      <c r="I29">
        <v>83754</v>
      </c>
      <c r="J29">
        <v>10270</v>
      </c>
      <c r="K29">
        <v>7.2</v>
      </c>
      <c r="L29" t="s">
        <v>21</v>
      </c>
      <c r="M29" t="s">
        <v>41</v>
      </c>
      <c r="N29" t="s">
        <v>23</v>
      </c>
      <c r="O29">
        <v>14.03</v>
      </c>
      <c r="P29" t="s">
        <v>35</v>
      </c>
      <c r="Q29" t="str">
        <f>IF(Table1[[#This Row],[Actual Calls]]&gt;=Table1[[#This Row],[Target Calls]],"Achieved","Not Achieved")</f>
        <v>Not Achieved</v>
      </c>
      <c r="R29">
        <f>IF(Table1[[#This Row],[Attendance Status]]="Absent",1,0)</f>
        <v>0</v>
      </c>
    </row>
    <row r="30" spans="1:18" x14ac:dyDescent="0.3">
      <c r="A30" t="s">
        <v>103</v>
      </c>
      <c r="B30" t="s">
        <v>104</v>
      </c>
      <c r="C30" t="s">
        <v>18</v>
      </c>
      <c r="D30" t="s">
        <v>28</v>
      </c>
      <c r="E30" t="s">
        <v>38</v>
      </c>
      <c r="F30">
        <v>42031</v>
      </c>
      <c r="G30">
        <v>141</v>
      </c>
      <c r="H30">
        <v>126</v>
      </c>
      <c r="I30">
        <v>12797</v>
      </c>
      <c r="J30">
        <v>22484</v>
      </c>
      <c r="K30">
        <v>10.5</v>
      </c>
      <c r="L30" t="s">
        <v>21</v>
      </c>
      <c r="M30" t="s">
        <v>22</v>
      </c>
      <c r="N30" t="s">
        <v>58</v>
      </c>
      <c r="O30">
        <v>12</v>
      </c>
      <c r="P30" t="s">
        <v>35</v>
      </c>
      <c r="Q30" t="str">
        <f>IF(Table1[[#This Row],[Actual Calls]]&gt;=Table1[[#This Row],[Target Calls]],"Achieved","Not Achieved")</f>
        <v>Not Achieved</v>
      </c>
      <c r="R30">
        <f>IF(Table1[[#This Row],[Attendance Status]]="Absent",1,0)</f>
        <v>0</v>
      </c>
    </row>
    <row r="31" spans="1:18" hidden="1" x14ac:dyDescent="0.3">
      <c r="A31" t="s">
        <v>105</v>
      </c>
      <c r="B31" t="s">
        <v>106</v>
      </c>
      <c r="C31" t="s">
        <v>44</v>
      </c>
      <c r="D31" t="s">
        <v>33</v>
      </c>
      <c r="E31" t="s">
        <v>29</v>
      </c>
      <c r="F31">
        <v>25854</v>
      </c>
      <c r="G31">
        <v>84</v>
      </c>
      <c r="H31">
        <v>158</v>
      </c>
      <c r="I31">
        <v>34767</v>
      </c>
      <c r="J31">
        <v>18495</v>
      </c>
      <c r="K31">
        <v>6.2</v>
      </c>
      <c r="L31" t="s">
        <v>21</v>
      </c>
      <c r="M31" t="s">
        <v>41</v>
      </c>
      <c r="N31" t="s">
        <v>23</v>
      </c>
      <c r="O31">
        <v>25.48</v>
      </c>
      <c r="P31" t="s">
        <v>78</v>
      </c>
      <c r="Q31" t="str">
        <f>IF(Table1[[#This Row],[Actual Calls]]&gt;=Table1[[#This Row],[Target Calls]],"Achieved","Not Achieved")</f>
        <v>Achieved</v>
      </c>
      <c r="R31">
        <f>IF(Table1[[#This Row],[Attendance Status]]="Absent",1,0)</f>
        <v>0</v>
      </c>
    </row>
    <row r="32" spans="1:18" x14ac:dyDescent="0.3">
      <c r="A32" t="s">
        <v>107</v>
      </c>
      <c r="B32" t="s">
        <v>108</v>
      </c>
      <c r="C32" t="s">
        <v>18</v>
      </c>
      <c r="D32" t="s">
        <v>45</v>
      </c>
      <c r="E32" t="s">
        <v>20</v>
      </c>
      <c r="F32">
        <v>43028</v>
      </c>
      <c r="G32">
        <v>168</v>
      </c>
      <c r="H32">
        <v>100</v>
      </c>
      <c r="I32">
        <v>77790</v>
      </c>
      <c r="J32">
        <v>7992</v>
      </c>
      <c r="K32">
        <v>5.7</v>
      </c>
      <c r="L32" t="s">
        <v>21</v>
      </c>
      <c r="M32" t="s">
        <v>41</v>
      </c>
      <c r="N32" t="s">
        <v>30</v>
      </c>
      <c r="O32">
        <v>17.54</v>
      </c>
      <c r="P32" t="s">
        <v>35</v>
      </c>
      <c r="Q32" t="str">
        <f>IF(Table1[[#This Row],[Actual Calls]]&gt;=Table1[[#This Row],[Target Calls]],"Achieved","Not Achieved")</f>
        <v>Not Achieved</v>
      </c>
      <c r="R32">
        <f>IF(Table1[[#This Row],[Attendance Status]]="Absent",1,0)</f>
        <v>0</v>
      </c>
    </row>
    <row r="33" spans="1:18" hidden="1" x14ac:dyDescent="0.3">
      <c r="A33" t="s">
        <v>109</v>
      </c>
      <c r="B33" t="s">
        <v>110</v>
      </c>
      <c r="C33" t="s">
        <v>44</v>
      </c>
      <c r="D33" t="s">
        <v>19</v>
      </c>
      <c r="E33" t="s">
        <v>70</v>
      </c>
      <c r="F33">
        <v>38757</v>
      </c>
      <c r="G33">
        <v>98</v>
      </c>
      <c r="H33">
        <v>110</v>
      </c>
      <c r="I33">
        <v>42396</v>
      </c>
      <c r="J33">
        <v>66924</v>
      </c>
      <c r="K33">
        <v>7.6</v>
      </c>
      <c r="L33" t="s">
        <v>21</v>
      </c>
      <c r="M33" t="s">
        <v>73</v>
      </c>
      <c r="N33" t="s">
        <v>30</v>
      </c>
      <c r="O33">
        <v>14.47</v>
      </c>
      <c r="P33" t="s">
        <v>35</v>
      </c>
      <c r="Q33" t="str">
        <f>IF(Table1[[#This Row],[Actual Calls]]&gt;=Table1[[#This Row],[Target Calls]],"Achieved","Not Achieved")</f>
        <v>Achieved</v>
      </c>
      <c r="R33">
        <f>IF(Table1[[#This Row],[Attendance Status]]="Absent",1,0)</f>
        <v>0</v>
      </c>
    </row>
    <row r="34" spans="1:18" hidden="1" x14ac:dyDescent="0.3">
      <c r="A34" t="s">
        <v>111</v>
      </c>
      <c r="B34" t="s">
        <v>112</v>
      </c>
      <c r="C34" t="s">
        <v>27</v>
      </c>
      <c r="D34" t="s">
        <v>54</v>
      </c>
      <c r="E34" t="s">
        <v>20</v>
      </c>
      <c r="F34">
        <v>31572</v>
      </c>
      <c r="G34">
        <v>138</v>
      </c>
      <c r="H34">
        <v>58</v>
      </c>
      <c r="I34">
        <v>29876</v>
      </c>
      <c r="J34">
        <v>21397</v>
      </c>
      <c r="K34">
        <v>9.6</v>
      </c>
      <c r="L34" t="s">
        <v>21</v>
      </c>
      <c r="M34" t="s">
        <v>41</v>
      </c>
      <c r="N34" t="s">
        <v>50</v>
      </c>
      <c r="O34">
        <v>6.04</v>
      </c>
      <c r="P34" t="s">
        <v>24</v>
      </c>
      <c r="Q34" t="str">
        <f>IF(Table1[[#This Row],[Actual Calls]]&gt;=Table1[[#This Row],[Target Calls]],"Achieved","Not Achieved")</f>
        <v>Not Achieved</v>
      </c>
      <c r="R34">
        <f>IF(Table1[[#This Row],[Attendance Status]]="Absent",1,0)</f>
        <v>0</v>
      </c>
    </row>
    <row r="35" spans="1:18" hidden="1" x14ac:dyDescent="0.3">
      <c r="A35" t="s">
        <v>113</v>
      </c>
      <c r="B35" t="s">
        <v>114</v>
      </c>
      <c r="C35" t="s">
        <v>27</v>
      </c>
      <c r="D35" t="s">
        <v>45</v>
      </c>
      <c r="E35" t="s">
        <v>70</v>
      </c>
      <c r="F35">
        <v>45919</v>
      </c>
      <c r="G35">
        <v>148</v>
      </c>
      <c r="H35">
        <v>80</v>
      </c>
      <c r="I35">
        <v>29073</v>
      </c>
      <c r="J35">
        <v>6710</v>
      </c>
      <c r="K35">
        <v>8.6</v>
      </c>
      <c r="L35" t="s">
        <v>21</v>
      </c>
      <c r="M35" t="s">
        <v>34</v>
      </c>
      <c r="N35" t="s">
        <v>47</v>
      </c>
      <c r="O35">
        <v>9.3000000000000007</v>
      </c>
      <c r="P35" t="s">
        <v>24</v>
      </c>
      <c r="Q35" t="str">
        <f>IF(Table1[[#This Row],[Actual Calls]]&gt;=Table1[[#This Row],[Target Calls]],"Achieved","Not Achieved")</f>
        <v>Not Achieved</v>
      </c>
      <c r="R35">
        <f>IF(Table1[[#This Row],[Attendance Status]]="Absent",1,0)</f>
        <v>0</v>
      </c>
    </row>
    <row r="36" spans="1:18" hidden="1" x14ac:dyDescent="0.3">
      <c r="A36" t="s">
        <v>115</v>
      </c>
      <c r="B36" t="s">
        <v>116</v>
      </c>
      <c r="C36" t="s">
        <v>44</v>
      </c>
      <c r="D36" t="s">
        <v>45</v>
      </c>
      <c r="E36" t="s">
        <v>29</v>
      </c>
      <c r="F36">
        <v>28387</v>
      </c>
      <c r="G36">
        <v>145</v>
      </c>
      <c r="H36">
        <v>165</v>
      </c>
      <c r="I36">
        <v>6306</v>
      </c>
      <c r="J36">
        <v>60124</v>
      </c>
      <c r="K36">
        <v>7.8</v>
      </c>
      <c r="L36" t="s">
        <v>21</v>
      </c>
      <c r="M36" t="s">
        <v>34</v>
      </c>
      <c r="N36" t="s">
        <v>62</v>
      </c>
      <c r="O36">
        <v>21.15</v>
      </c>
      <c r="P36" t="s">
        <v>51</v>
      </c>
      <c r="Q36" t="str">
        <f>IF(Table1[[#This Row],[Actual Calls]]&gt;=Table1[[#This Row],[Target Calls]],"Achieved","Not Achieved")</f>
        <v>Achieved</v>
      </c>
      <c r="R36">
        <f>IF(Table1[[#This Row],[Attendance Status]]="Absent",1,0)</f>
        <v>0</v>
      </c>
    </row>
    <row r="37" spans="1:18" hidden="1" x14ac:dyDescent="0.3">
      <c r="A37" t="s">
        <v>117</v>
      </c>
      <c r="B37" t="s">
        <v>118</v>
      </c>
      <c r="C37" t="s">
        <v>27</v>
      </c>
      <c r="D37" t="s">
        <v>54</v>
      </c>
      <c r="E37" t="s">
        <v>20</v>
      </c>
      <c r="F37">
        <v>43919</v>
      </c>
      <c r="G37">
        <v>140</v>
      </c>
      <c r="H37">
        <v>136</v>
      </c>
      <c r="I37">
        <v>72682</v>
      </c>
      <c r="J37">
        <v>51503</v>
      </c>
      <c r="K37">
        <v>7.2</v>
      </c>
      <c r="L37" t="s">
        <v>21</v>
      </c>
      <c r="M37" t="s">
        <v>34</v>
      </c>
      <c r="N37" t="s">
        <v>58</v>
      </c>
      <c r="O37">
        <v>18.89</v>
      </c>
      <c r="P37" t="s">
        <v>51</v>
      </c>
      <c r="Q37" t="str">
        <f>IF(Table1[[#This Row],[Actual Calls]]&gt;=Table1[[#This Row],[Target Calls]],"Achieved","Not Achieved")</f>
        <v>Not Achieved</v>
      </c>
      <c r="R37">
        <f>IF(Table1[[#This Row],[Attendance Status]]="Absent",1,0)</f>
        <v>0</v>
      </c>
    </row>
    <row r="38" spans="1:18" x14ac:dyDescent="0.3">
      <c r="A38" t="s">
        <v>119</v>
      </c>
      <c r="B38" t="s">
        <v>120</v>
      </c>
      <c r="C38" t="s">
        <v>18</v>
      </c>
      <c r="D38" t="s">
        <v>19</v>
      </c>
      <c r="E38" t="s">
        <v>70</v>
      </c>
      <c r="F38">
        <v>37089</v>
      </c>
      <c r="G38">
        <v>157</v>
      </c>
      <c r="H38">
        <v>109</v>
      </c>
      <c r="I38">
        <v>17946</v>
      </c>
      <c r="J38">
        <v>14833</v>
      </c>
      <c r="K38">
        <v>9.4</v>
      </c>
      <c r="L38" t="s">
        <v>21</v>
      </c>
      <c r="M38" t="s">
        <v>41</v>
      </c>
      <c r="N38" t="s">
        <v>50</v>
      </c>
      <c r="O38">
        <v>11.6</v>
      </c>
      <c r="P38" t="s">
        <v>35</v>
      </c>
      <c r="Q38" t="str">
        <f>IF(Table1[[#This Row],[Actual Calls]]&gt;=Table1[[#This Row],[Target Calls]],"Achieved","Not Achieved")</f>
        <v>Not Achieved</v>
      </c>
      <c r="R38">
        <f>IF(Table1[[#This Row],[Attendance Status]]="Absent",1,0)</f>
        <v>0</v>
      </c>
    </row>
    <row r="39" spans="1:18" hidden="1" x14ac:dyDescent="0.3">
      <c r="A39" t="s">
        <v>121</v>
      </c>
      <c r="B39" t="s">
        <v>122</v>
      </c>
      <c r="C39" t="s">
        <v>65</v>
      </c>
      <c r="D39" t="s">
        <v>33</v>
      </c>
      <c r="E39" t="s">
        <v>29</v>
      </c>
      <c r="F39">
        <v>29423</v>
      </c>
      <c r="G39">
        <v>134</v>
      </c>
      <c r="H39">
        <v>182</v>
      </c>
      <c r="I39">
        <v>42860</v>
      </c>
      <c r="J39">
        <v>7922</v>
      </c>
      <c r="K39">
        <v>7.7</v>
      </c>
      <c r="L39" t="s">
        <v>21</v>
      </c>
      <c r="M39" t="s">
        <v>73</v>
      </c>
      <c r="N39" t="s">
        <v>50</v>
      </c>
      <c r="O39">
        <v>23.64</v>
      </c>
      <c r="P39" t="s">
        <v>51</v>
      </c>
      <c r="Q39" t="str">
        <f>IF(Table1[[#This Row],[Actual Calls]]&gt;=Table1[[#This Row],[Target Calls]],"Achieved","Not Achieved")</f>
        <v>Achieved</v>
      </c>
      <c r="R39">
        <f>IF(Table1[[#This Row],[Attendance Status]]="Absent",1,0)</f>
        <v>0</v>
      </c>
    </row>
    <row r="40" spans="1:18" hidden="1" x14ac:dyDescent="0.3">
      <c r="A40" t="s">
        <v>123</v>
      </c>
      <c r="B40" t="s">
        <v>124</v>
      </c>
      <c r="C40" t="s">
        <v>27</v>
      </c>
      <c r="D40" t="s">
        <v>19</v>
      </c>
      <c r="E40" t="s">
        <v>70</v>
      </c>
      <c r="F40">
        <v>31339</v>
      </c>
      <c r="G40">
        <v>174</v>
      </c>
      <c r="H40">
        <v>58</v>
      </c>
      <c r="I40">
        <v>73417</v>
      </c>
      <c r="J40">
        <v>58065</v>
      </c>
      <c r="K40">
        <v>8.4</v>
      </c>
      <c r="L40" t="s">
        <v>21</v>
      </c>
      <c r="M40" t="s">
        <v>34</v>
      </c>
      <c r="N40" t="s">
        <v>58</v>
      </c>
      <c r="O40">
        <v>6.9</v>
      </c>
      <c r="P40" t="s">
        <v>24</v>
      </c>
      <c r="Q40" t="str">
        <f>IF(Table1[[#This Row],[Actual Calls]]&gt;=Table1[[#This Row],[Target Calls]],"Achieved","Not Achieved")</f>
        <v>Not Achieved</v>
      </c>
      <c r="R40">
        <f>IF(Table1[[#This Row],[Attendance Status]]="Absent",1,0)</f>
        <v>0</v>
      </c>
    </row>
    <row r="41" spans="1:18" hidden="1" x14ac:dyDescent="0.3">
      <c r="A41" t="s">
        <v>125</v>
      </c>
      <c r="B41" t="s">
        <v>126</v>
      </c>
      <c r="C41" t="s">
        <v>27</v>
      </c>
      <c r="D41" t="s">
        <v>45</v>
      </c>
      <c r="E41" t="s">
        <v>29</v>
      </c>
      <c r="F41">
        <v>42768</v>
      </c>
      <c r="G41">
        <v>144</v>
      </c>
      <c r="H41">
        <v>163</v>
      </c>
      <c r="I41">
        <v>28510</v>
      </c>
      <c r="J41">
        <v>26628</v>
      </c>
      <c r="K41">
        <v>6.1</v>
      </c>
      <c r="L41" t="s">
        <v>21</v>
      </c>
      <c r="M41" t="s">
        <v>41</v>
      </c>
      <c r="N41" t="s">
        <v>47</v>
      </c>
      <c r="O41">
        <v>26.72</v>
      </c>
      <c r="P41" t="s">
        <v>78</v>
      </c>
      <c r="Q41" t="str">
        <f>IF(Table1[[#This Row],[Actual Calls]]&gt;=Table1[[#This Row],[Target Calls]],"Achieved","Not Achieved")</f>
        <v>Achieved</v>
      </c>
      <c r="R41">
        <f>IF(Table1[[#This Row],[Attendance Status]]="Absent",1,0)</f>
        <v>0</v>
      </c>
    </row>
    <row r="42" spans="1:18" hidden="1" x14ac:dyDescent="0.3">
      <c r="A42" t="s">
        <v>127</v>
      </c>
      <c r="B42" t="s">
        <v>128</v>
      </c>
      <c r="C42" t="s">
        <v>44</v>
      </c>
      <c r="D42" t="s">
        <v>33</v>
      </c>
      <c r="E42" t="s">
        <v>61</v>
      </c>
      <c r="F42">
        <v>42644</v>
      </c>
      <c r="G42">
        <v>170</v>
      </c>
      <c r="H42">
        <v>74</v>
      </c>
      <c r="I42">
        <v>51771</v>
      </c>
      <c r="J42">
        <v>47322</v>
      </c>
      <c r="K42">
        <v>4.5999999999999996</v>
      </c>
      <c r="L42" t="s">
        <v>21</v>
      </c>
      <c r="M42" t="s">
        <v>73</v>
      </c>
      <c r="N42" t="s">
        <v>30</v>
      </c>
      <c r="O42">
        <v>16.09</v>
      </c>
      <c r="P42" t="s">
        <v>35</v>
      </c>
      <c r="Q42" t="str">
        <f>IF(Table1[[#This Row],[Actual Calls]]&gt;=Table1[[#This Row],[Target Calls]],"Achieved","Not Achieved")</f>
        <v>Not Achieved</v>
      </c>
      <c r="R42">
        <f>IF(Table1[[#This Row],[Attendance Status]]="Absent",1,0)</f>
        <v>0</v>
      </c>
    </row>
    <row r="43" spans="1:18" hidden="1" x14ac:dyDescent="0.3">
      <c r="A43" t="s">
        <v>129</v>
      </c>
      <c r="B43" t="s">
        <v>130</v>
      </c>
      <c r="C43" t="s">
        <v>27</v>
      </c>
      <c r="D43" t="s">
        <v>54</v>
      </c>
      <c r="E43" t="s">
        <v>29</v>
      </c>
      <c r="F43">
        <v>39108</v>
      </c>
      <c r="G43">
        <v>130</v>
      </c>
      <c r="H43">
        <v>46</v>
      </c>
      <c r="I43">
        <v>87292</v>
      </c>
      <c r="J43">
        <v>55384</v>
      </c>
      <c r="K43">
        <v>7.2</v>
      </c>
      <c r="L43" t="s">
        <v>21</v>
      </c>
      <c r="M43" t="s">
        <v>41</v>
      </c>
      <c r="N43" t="s">
        <v>62</v>
      </c>
      <c r="O43">
        <v>6.39</v>
      </c>
      <c r="P43" t="s">
        <v>24</v>
      </c>
      <c r="Q43" t="str">
        <f>IF(Table1[[#This Row],[Actual Calls]]&gt;=Table1[[#This Row],[Target Calls]],"Achieved","Not Achieved")</f>
        <v>Not Achieved</v>
      </c>
      <c r="R43">
        <f>IF(Table1[[#This Row],[Attendance Status]]="Absent",1,0)</f>
        <v>0</v>
      </c>
    </row>
    <row r="44" spans="1:18" x14ac:dyDescent="0.3">
      <c r="A44" t="s">
        <v>131</v>
      </c>
      <c r="B44" t="s">
        <v>132</v>
      </c>
      <c r="C44" t="s">
        <v>18</v>
      </c>
      <c r="D44" t="s">
        <v>54</v>
      </c>
      <c r="E44" t="s">
        <v>38</v>
      </c>
      <c r="F44">
        <v>29402</v>
      </c>
      <c r="G44">
        <v>109</v>
      </c>
      <c r="H44">
        <v>53</v>
      </c>
      <c r="I44">
        <v>9025</v>
      </c>
      <c r="J44">
        <v>59486</v>
      </c>
      <c r="K44">
        <v>9.8000000000000007</v>
      </c>
      <c r="L44" t="s">
        <v>21</v>
      </c>
      <c r="M44" t="s">
        <v>41</v>
      </c>
      <c r="N44" t="s">
        <v>50</v>
      </c>
      <c r="O44">
        <v>5.41</v>
      </c>
      <c r="P44" t="s">
        <v>24</v>
      </c>
      <c r="Q44" t="str">
        <f>IF(Table1[[#This Row],[Actual Calls]]&gt;=Table1[[#This Row],[Target Calls]],"Achieved","Not Achieved")</f>
        <v>Not Achieved</v>
      </c>
      <c r="R44">
        <f>IF(Table1[[#This Row],[Attendance Status]]="Absent",1,0)</f>
        <v>0</v>
      </c>
    </row>
    <row r="45" spans="1:18" hidden="1" x14ac:dyDescent="0.3">
      <c r="A45" t="s">
        <v>133</v>
      </c>
      <c r="B45" t="s">
        <v>134</v>
      </c>
      <c r="C45" t="s">
        <v>27</v>
      </c>
      <c r="D45" t="s">
        <v>19</v>
      </c>
      <c r="E45" t="s">
        <v>61</v>
      </c>
      <c r="F45">
        <v>26997</v>
      </c>
      <c r="G45">
        <v>95</v>
      </c>
      <c r="H45">
        <v>153</v>
      </c>
      <c r="I45">
        <v>11341</v>
      </c>
      <c r="J45">
        <v>63739</v>
      </c>
      <c r="K45">
        <v>10.3</v>
      </c>
      <c r="L45" t="s">
        <v>21</v>
      </c>
      <c r="M45" t="s">
        <v>34</v>
      </c>
      <c r="N45" t="s">
        <v>50</v>
      </c>
      <c r="O45">
        <v>14.85</v>
      </c>
      <c r="P45" t="s">
        <v>35</v>
      </c>
      <c r="Q45" t="str">
        <f>IF(Table1[[#This Row],[Actual Calls]]&gt;=Table1[[#This Row],[Target Calls]],"Achieved","Not Achieved")</f>
        <v>Achieved</v>
      </c>
      <c r="R45">
        <f>IF(Table1[[#This Row],[Attendance Status]]="Absent",1,0)</f>
        <v>0</v>
      </c>
    </row>
    <row r="46" spans="1:18" hidden="1" x14ac:dyDescent="0.3">
      <c r="A46" t="s">
        <v>135</v>
      </c>
      <c r="B46" t="s">
        <v>136</v>
      </c>
      <c r="C46" t="s">
        <v>65</v>
      </c>
      <c r="D46" t="s">
        <v>28</v>
      </c>
      <c r="E46" t="s">
        <v>61</v>
      </c>
      <c r="F46">
        <v>22493</v>
      </c>
      <c r="G46">
        <v>84</v>
      </c>
      <c r="H46">
        <v>200</v>
      </c>
      <c r="I46">
        <v>65335</v>
      </c>
      <c r="J46">
        <v>31546</v>
      </c>
      <c r="K46">
        <v>10.4</v>
      </c>
      <c r="L46" t="s">
        <v>21</v>
      </c>
      <c r="M46" t="s">
        <v>41</v>
      </c>
      <c r="N46" t="s">
        <v>47</v>
      </c>
      <c r="O46">
        <v>19.23</v>
      </c>
      <c r="P46" t="s">
        <v>51</v>
      </c>
      <c r="Q46" t="str">
        <f>IF(Table1[[#This Row],[Actual Calls]]&gt;=Table1[[#This Row],[Target Calls]],"Achieved","Not Achieved")</f>
        <v>Achieved</v>
      </c>
      <c r="R46">
        <f>IF(Table1[[#This Row],[Attendance Status]]="Absent",1,0)</f>
        <v>0</v>
      </c>
    </row>
    <row r="47" spans="1:18" hidden="1" x14ac:dyDescent="0.3">
      <c r="A47" t="s">
        <v>137</v>
      </c>
      <c r="B47" t="s">
        <v>138</v>
      </c>
      <c r="C47" t="s">
        <v>65</v>
      </c>
      <c r="D47" t="s">
        <v>33</v>
      </c>
      <c r="E47" t="s">
        <v>29</v>
      </c>
      <c r="F47">
        <v>35160</v>
      </c>
      <c r="G47">
        <v>90</v>
      </c>
      <c r="H47">
        <v>105</v>
      </c>
      <c r="I47">
        <v>52051</v>
      </c>
      <c r="J47">
        <v>22367</v>
      </c>
      <c r="K47">
        <v>10.1</v>
      </c>
      <c r="L47" t="s">
        <v>46</v>
      </c>
      <c r="M47" t="s">
        <v>34</v>
      </c>
      <c r="N47" t="s">
        <v>23</v>
      </c>
      <c r="O47">
        <v>10.4</v>
      </c>
      <c r="P47" t="s">
        <v>35</v>
      </c>
      <c r="Q47" t="str">
        <f>IF(Table1[[#This Row],[Actual Calls]]&gt;=Table1[[#This Row],[Target Calls]],"Achieved","Not Achieved")</f>
        <v>Achieved</v>
      </c>
      <c r="R47">
        <f>IF(Table1[[#This Row],[Attendance Status]]="Absent",1,0)</f>
        <v>1</v>
      </c>
    </row>
    <row r="48" spans="1:18" hidden="1" x14ac:dyDescent="0.3">
      <c r="A48" t="s">
        <v>139</v>
      </c>
      <c r="B48" t="s">
        <v>140</v>
      </c>
      <c r="C48" t="s">
        <v>65</v>
      </c>
      <c r="D48" t="s">
        <v>33</v>
      </c>
      <c r="E48" t="s">
        <v>61</v>
      </c>
      <c r="F48">
        <v>35385</v>
      </c>
      <c r="G48">
        <v>87</v>
      </c>
      <c r="H48">
        <v>114</v>
      </c>
      <c r="I48">
        <v>74413</v>
      </c>
      <c r="J48">
        <v>33215</v>
      </c>
      <c r="K48">
        <v>6.1</v>
      </c>
      <c r="L48" t="s">
        <v>21</v>
      </c>
      <c r="M48" t="s">
        <v>22</v>
      </c>
      <c r="N48" t="s">
        <v>30</v>
      </c>
      <c r="O48">
        <v>18.690000000000001</v>
      </c>
      <c r="P48" t="s">
        <v>51</v>
      </c>
      <c r="Q48" t="str">
        <f>IF(Table1[[#This Row],[Actual Calls]]&gt;=Table1[[#This Row],[Target Calls]],"Achieved","Not Achieved")</f>
        <v>Achieved</v>
      </c>
      <c r="R48">
        <f>IF(Table1[[#This Row],[Attendance Status]]="Absent",1,0)</f>
        <v>0</v>
      </c>
    </row>
    <row r="49" spans="1:18" x14ac:dyDescent="0.3">
      <c r="A49" t="s">
        <v>141</v>
      </c>
      <c r="B49" t="s">
        <v>142</v>
      </c>
      <c r="C49" t="s">
        <v>18</v>
      </c>
      <c r="D49" t="s">
        <v>19</v>
      </c>
      <c r="E49" t="s">
        <v>38</v>
      </c>
      <c r="F49">
        <v>26166</v>
      </c>
      <c r="G49">
        <v>101</v>
      </c>
      <c r="H49">
        <v>184</v>
      </c>
      <c r="I49">
        <v>37156</v>
      </c>
      <c r="J49">
        <v>50864</v>
      </c>
      <c r="K49">
        <v>5.9</v>
      </c>
      <c r="L49" t="s">
        <v>21</v>
      </c>
      <c r="M49" t="s">
        <v>34</v>
      </c>
      <c r="N49" t="s">
        <v>62</v>
      </c>
      <c r="O49">
        <v>31.19</v>
      </c>
      <c r="P49" t="s">
        <v>78</v>
      </c>
      <c r="Q49" t="str">
        <f>IF(Table1[[#This Row],[Actual Calls]]&gt;=Table1[[#This Row],[Target Calls]],"Achieved","Not Achieved")</f>
        <v>Achieved</v>
      </c>
      <c r="R49">
        <f>IF(Table1[[#This Row],[Attendance Status]]="Absent",1,0)</f>
        <v>0</v>
      </c>
    </row>
    <row r="50" spans="1:18" x14ac:dyDescent="0.3">
      <c r="A50" t="s">
        <v>143</v>
      </c>
      <c r="B50" t="s">
        <v>144</v>
      </c>
      <c r="C50" t="s">
        <v>18</v>
      </c>
      <c r="D50" t="s">
        <v>28</v>
      </c>
      <c r="E50" t="s">
        <v>55</v>
      </c>
      <c r="F50">
        <v>27602</v>
      </c>
      <c r="G50">
        <v>154</v>
      </c>
      <c r="H50">
        <v>63</v>
      </c>
      <c r="I50">
        <v>50143</v>
      </c>
      <c r="J50">
        <v>25929</v>
      </c>
      <c r="K50">
        <v>10.3</v>
      </c>
      <c r="L50" t="s">
        <v>21</v>
      </c>
      <c r="M50" t="s">
        <v>41</v>
      </c>
      <c r="N50" t="s">
        <v>30</v>
      </c>
      <c r="O50">
        <v>6.12</v>
      </c>
      <c r="P50" t="s">
        <v>24</v>
      </c>
      <c r="Q50" t="str">
        <f>IF(Table1[[#This Row],[Actual Calls]]&gt;=Table1[[#This Row],[Target Calls]],"Achieved","Not Achieved")</f>
        <v>Not Achieved</v>
      </c>
      <c r="R50">
        <f>IF(Table1[[#This Row],[Attendance Status]]="Absent",1,0)</f>
        <v>0</v>
      </c>
    </row>
    <row r="51" spans="1:18" hidden="1" x14ac:dyDescent="0.3">
      <c r="A51" t="s">
        <v>145</v>
      </c>
      <c r="B51" t="s">
        <v>146</v>
      </c>
      <c r="C51" t="s">
        <v>65</v>
      </c>
      <c r="D51" t="s">
        <v>33</v>
      </c>
      <c r="E51" t="s">
        <v>61</v>
      </c>
      <c r="F51">
        <v>26613</v>
      </c>
      <c r="G51">
        <v>92</v>
      </c>
      <c r="H51">
        <v>153</v>
      </c>
      <c r="I51">
        <v>27397</v>
      </c>
      <c r="J51">
        <v>68359</v>
      </c>
      <c r="K51">
        <v>7.5</v>
      </c>
      <c r="L51" t="s">
        <v>21</v>
      </c>
      <c r="M51" t="s">
        <v>73</v>
      </c>
      <c r="N51" t="s">
        <v>58</v>
      </c>
      <c r="O51">
        <v>20.399999999999999</v>
      </c>
      <c r="P51" t="s">
        <v>51</v>
      </c>
      <c r="Q51" t="str">
        <f>IF(Table1[[#This Row],[Actual Calls]]&gt;=Table1[[#This Row],[Target Calls]],"Achieved","Not Achieved")</f>
        <v>Achieved</v>
      </c>
      <c r="R51">
        <f>IF(Table1[[#This Row],[Attendance Status]]="Absent",1,0)</f>
        <v>0</v>
      </c>
    </row>
    <row r="52" spans="1:18" hidden="1" x14ac:dyDescent="0.3">
      <c r="A52" t="s">
        <v>147</v>
      </c>
      <c r="B52" t="s">
        <v>148</v>
      </c>
      <c r="C52" t="s">
        <v>44</v>
      </c>
      <c r="D52" t="s">
        <v>45</v>
      </c>
      <c r="E52" t="s">
        <v>20</v>
      </c>
      <c r="F52">
        <v>29323</v>
      </c>
      <c r="G52">
        <v>92</v>
      </c>
      <c r="H52">
        <v>185</v>
      </c>
      <c r="I52">
        <v>26292</v>
      </c>
      <c r="J52">
        <v>5368</v>
      </c>
      <c r="K52">
        <v>4.9000000000000004</v>
      </c>
      <c r="L52" t="s">
        <v>46</v>
      </c>
      <c r="M52" t="s">
        <v>22</v>
      </c>
      <c r="N52" t="s">
        <v>30</v>
      </c>
      <c r="O52">
        <v>37.76</v>
      </c>
      <c r="P52" t="s">
        <v>78</v>
      </c>
      <c r="Q52" t="str">
        <f>IF(Table1[[#This Row],[Actual Calls]]&gt;=Table1[[#This Row],[Target Calls]],"Achieved","Not Achieved")</f>
        <v>Achieved</v>
      </c>
      <c r="R52">
        <f>IF(Table1[[#This Row],[Attendance Status]]="Absent",1,0)</f>
        <v>1</v>
      </c>
    </row>
    <row r="53" spans="1:18" hidden="1" x14ac:dyDescent="0.3">
      <c r="A53" t="s">
        <v>149</v>
      </c>
      <c r="B53" t="s">
        <v>150</v>
      </c>
      <c r="C53" t="s">
        <v>27</v>
      </c>
      <c r="D53" t="s">
        <v>19</v>
      </c>
      <c r="E53" t="s">
        <v>70</v>
      </c>
      <c r="F53">
        <v>28177</v>
      </c>
      <c r="G53">
        <v>111</v>
      </c>
      <c r="H53">
        <v>113</v>
      </c>
      <c r="I53">
        <v>51570</v>
      </c>
      <c r="J53">
        <v>12917</v>
      </c>
      <c r="K53">
        <v>9.6</v>
      </c>
      <c r="L53" t="s">
        <v>21</v>
      </c>
      <c r="M53" t="s">
        <v>22</v>
      </c>
      <c r="N53" t="s">
        <v>23</v>
      </c>
      <c r="O53">
        <v>11.77</v>
      </c>
      <c r="P53" t="s">
        <v>35</v>
      </c>
      <c r="Q53" t="str">
        <f>IF(Table1[[#This Row],[Actual Calls]]&gt;=Table1[[#This Row],[Target Calls]],"Achieved","Not Achieved")</f>
        <v>Achieved</v>
      </c>
      <c r="R53">
        <f>IF(Table1[[#This Row],[Attendance Status]]="Absent",1,0)</f>
        <v>0</v>
      </c>
    </row>
    <row r="54" spans="1:18" x14ac:dyDescent="0.3">
      <c r="A54" t="s">
        <v>151</v>
      </c>
      <c r="B54" t="s">
        <v>152</v>
      </c>
      <c r="C54" t="s">
        <v>18</v>
      </c>
      <c r="D54" t="s">
        <v>33</v>
      </c>
      <c r="E54" t="s">
        <v>55</v>
      </c>
      <c r="F54">
        <v>53723</v>
      </c>
      <c r="G54">
        <v>97</v>
      </c>
      <c r="H54">
        <v>198</v>
      </c>
      <c r="I54">
        <v>73503</v>
      </c>
      <c r="J54">
        <v>33901</v>
      </c>
      <c r="K54">
        <v>10.199999999999999</v>
      </c>
      <c r="L54" t="s">
        <v>21</v>
      </c>
      <c r="M54" t="s">
        <v>41</v>
      </c>
      <c r="N54" t="s">
        <v>23</v>
      </c>
      <c r="O54">
        <v>19.41</v>
      </c>
      <c r="P54" t="s">
        <v>51</v>
      </c>
      <c r="Q54" t="str">
        <f>IF(Table1[[#This Row],[Actual Calls]]&gt;=Table1[[#This Row],[Target Calls]],"Achieved","Not Achieved")</f>
        <v>Achieved</v>
      </c>
      <c r="R54">
        <f>IF(Table1[[#This Row],[Attendance Status]]="Absent",1,0)</f>
        <v>0</v>
      </c>
    </row>
    <row r="55" spans="1:18" hidden="1" x14ac:dyDescent="0.3">
      <c r="A55" t="s">
        <v>153</v>
      </c>
      <c r="B55" t="s">
        <v>154</v>
      </c>
      <c r="C55" t="s">
        <v>65</v>
      </c>
      <c r="D55" t="s">
        <v>33</v>
      </c>
      <c r="E55" t="s">
        <v>55</v>
      </c>
      <c r="F55">
        <v>27092</v>
      </c>
      <c r="G55">
        <v>80</v>
      </c>
      <c r="H55">
        <v>148</v>
      </c>
      <c r="I55">
        <v>22079</v>
      </c>
      <c r="J55">
        <v>28998</v>
      </c>
      <c r="K55">
        <v>4.7</v>
      </c>
      <c r="L55" t="s">
        <v>21</v>
      </c>
      <c r="M55" t="s">
        <v>22</v>
      </c>
      <c r="N55" t="s">
        <v>30</v>
      </c>
      <c r="O55">
        <v>31.49</v>
      </c>
      <c r="P55" t="s">
        <v>78</v>
      </c>
      <c r="Q55" t="str">
        <f>IF(Table1[[#This Row],[Actual Calls]]&gt;=Table1[[#This Row],[Target Calls]],"Achieved","Not Achieved")</f>
        <v>Achieved</v>
      </c>
      <c r="R55">
        <f>IF(Table1[[#This Row],[Attendance Status]]="Absent",1,0)</f>
        <v>0</v>
      </c>
    </row>
    <row r="56" spans="1:18" hidden="1" x14ac:dyDescent="0.3">
      <c r="A56" t="s">
        <v>155</v>
      </c>
      <c r="B56" t="s">
        <v>156</v>
      </c>
      <c r="C56" t="s">
        <v>27</v>
      </c>
      <c r="D56" t="s">
        <v>54</v>
      </c>
      <c r="E56" t="s">
        <v>38</v>
      </c>
      <c r="F56">
        <v>32344</v>
      </c>
      <c r="G56">
        <v>155</v>
      </c>
      <c r="H56">
        <v>159</v>
      </c>
      <c r="I56">
        <v>61335</v>
      </c>
      <c r="J56">
        <v>65652</v>
      </c>
      <c r="K56">
        <v>6.7</v>
      </c>
      <c r="L56" t="s">
        <v>21</v>
      </c>
      <c r="M56" t="s">
        <v>41</v>
      </c>
      <c r="N56" t="s">
        <v>62</v>
      </c>
      <c r="O56">
        <v>23.73</v>
      </c>
      <c r="P56" t="s">
        <v>51</v>
      </c>
      <c r="Q56" t="str">
        <f>IF(Table1[[#This Row],[Actual Calls]]&gt;=Table1[[#This Row],[Target Calls]],"Achieved","Not Achieved")</f>
        <v>Achieved</v>
      </c>
      <c r="R56">
        <f>IF(Table1[[#This Row],[Attendance Status]]="Absent",1,0)</f>
        <v>0</v>
      </c>
    </row>
    <row r="57" spans="1:18" x14ac:dyDescent="0.3">
      <c r="A57" t="s">
        <v>157</v>
      </c>
      <c r="B57" t="s">
        <v>158</v>
      </c>
      <c r="C57" t="s">
        <v>18</v>
      </c>
      <c r="D57" t="s">
        <v>45</v>
      </c>
      <c r="E57" t="s">
        <v>61</v>
      </c>
      <c r="F57">
        <v>53425</v>
      </c>
      <c r="G57">
        <v>167</v>
      </c>
      <c r="H57">
        <v>134</v>
      </c>
      <c r="I57">
        <v>80924</v>
      </c>
      <c r="J57">
        <v>26793</v>
      </c>
      <c r="K57">
        <v>9.9</v>
      </c>
      <c r="L57" t="s">
        <v>46</v>
      </c>
      <c r="M57" t="s">
        <v>22</v>
      </c>
      <c r="N57" t="s">
        <v>47</v>
      </c>
      <c r="O57">
        <v>13.54</v>
      </c>
      <c r="P57" t="s">
        <v>35</v>
      </c>
      <c r="Q57" t="str">
        <f>IF(Table1[[#This Row],[Actual Calls]]&gt;=Table1[[#This Row],[Target Calls]],"Achieved","Not Achieved")</f>
        <v>Not Achieved</v>
      </c>
      <c r="R57">
        <f>IF(Table1[[#This Row],[Attendance Status]]="Absent",1,0)</f>
        <v>1</v>
      </c>
    </row>
    <row r="58" spans="1:18" hidden="1" x14ac:dyDescent="0.3">
      <c r="A58" t="s">
        <v>159</v>
      </c>
      <c r="B58" t="s">
        <v>160</v>
      </c>
      <c r="C58" t="s">
        <v>65</v>
      </c>
      <c r="D58" t="s">
        <v>33</v>
      </c>
      <c r="E58" t="s">
        <v>38</v>
      </c>
      <c r="F58">
        <v>54036</v>
      </c>
      <c r="G58">
        <v>101</v>
      </c>
      <c r="H58">
        <v>75</v>
      </c>
      <c r="I58">
        <v>38295</v>
      </c>
      <c r="J58">
        <v>19179</v>
      </c>
      <c r="K58">
        <v>10.9</v>
      </c>
      <c r="L58" t="s">
        <v>21</v>
      </c>
      <c r="M58" t="s">
        <v>22</v>
      </c>
      <c r="N58" t="s">
        <v>58</v>
      </c>
      <c r="O58">
        <v>6.88</v>
      </c>
      <c r="P58" t="s">
        <v>24</v>
      </c>
      <c r="Q58" t="str">
        <f>IF(Table1[[#This Row],[Actual Calls]]&gt;=Table1[[#This Row],[Target Calls]],"Achieved","Not Achieved")</f>
        <v>Not Achieved</v>
      </c>
      <c r="R58">
        <f>IF(Table1[[#This Row],[Attendance Status]]="Absent",1,0)</f>
        <v>0</v>
      </c>
    </row>
    <row r="59" spans="1:18" hidden="1" x14ac:dyDescent="0.3">
      <c r="A59" t="s">
        <v>161</v>
      </c>
      <c r="B59" t="s">
        <v>162</v>
      </c>
      <c r="C59" t="s">
        <v>44</v>
      </c>
      <c r="D59" t="s">
        <v>33</v>
      </c>
      <c r="E59" t="s">
        <v>70</v>
      </c>
      <c r="F59">
        <v>23012</v>
      </c>
      <c r="G59">
        <v>154</v>
      </c>
      <c r="H59">
        <v>77</v>
      </c>
      <c r="I59">
        <v>60820</v>
      </c>
      <c r="J59">
        <v>5379</v>
      </c>
      <c r="K59">
        <v>8.6999999999999993</v>
      </c>
      <c r="L59" t="s">
        <v>21</v>
      </c>
      <c r="M59" t="s">
        <v>22</v>
      </c>
      <c r="N59" t="s">
        <v>30</v>
      </c>
      <c r="O59">
        <v>8.85</v>
      </c>
      <c r="P59" t="s">
        <v>24</v>
      </c>
      <c r="Q59" t="str">
        <f>IF(Table1[[#This Row],[Actual Calls]]&gt;=Table1[[#This Row],[Target Calls]],"Achieved","Not Achieved")</f>
        <v>Not Achieved</v>
      </c>
      <c r="R59">
        <f>IF(Table1[[#This Row],[Attendance Status]]="Absent",1,0)</f>
        <v>0</v>
      </c>
    </row>
    <row r="60" spans="1:18" hidden="1" x14ac:dyDescent="0.3">
      <c r="A60" t="s">
        <v>163</v>
      </c>
      <c r="B60" t="s">
        <v>164</v>
      </c>
      <c r="C60" t="s">
        <v>44</v>
      </c>
      <c r="D60" t="s">
        <v>19</v>
      </c>
      <c r="E60" t="s">
        <v>55</v>
      </c>
      <c r="F60">
        <v>45564</v>
      </c>
      <c r="G60">
        <v>156</v>
      </c>
      <c r="H60">
        <v>73</v>
      </c>
      <c r="I60">
        <v>77996</v>
      </c>
      <c r="J60">
        <v>53351</v>
      </c>
      <c r="K60">
        <v>6</v>
      </c>
      <c r="L60" t="s">
        <v>46</v>
      </c>
      <c r="M60" t="s">
        <v>41</v>
      </c>
      <c r="N60" t="s">
        <v>62</v>
      </c>
      <c r="O60">
        <v>12.17</v>
      </c>
      <c r="P60" t="s">
        <v>35</v>
      </c>
      <c r="Q60" t="str">
        <f>IF(Table1[[#This Row],[Actual Calls]]&gt;=Table1[[#This Row],[Target Calls]],"Achieved","Not Achieved")</f>
        <v>Not Achieved</v>
      </c>
      <c r="R60">
        <f>IF(Table1[[#This Row],[Attendance Status]]="Absent",1,0)</f>
        <v>1</v>
      </c>
    </row>
    <row r="61" spans="1:18" hidden="1" x14ac:dyDescent="0.3">
      <c r="A61" t="s">
        <v>165</v>
      </c>
      <c r="B61" t="s">
        <v>166</v>
      </c>
      <c r="C61" t="s">
        <v>65</v>
      </c>
      <c r="D61" t="s">
        <v>33</v>
      </c>
      <c r="E61" t="s">
        <v>20</v>
      </c>
      <c r="F61">
        <v>29486</v>
      </c>
      <c r="G61">
        <v>128</v>
      </c>
      <c r="H61">
        <v>65</v>
      </c>
      <c r="I61">
        <v>18845</v>
      </c>
      <c r="J61">
        <v>26330</v>
      </c>
      <c r="K61">
        <v>7.2</v>
      </c>
      <c r="L61" t="s">
        <v>21</v>
      </c>
      <c r="M61" t="s">
        <v>34</v>
      </c>
      <c r="N61" t="s">
        <v>47</v>
      </c>
      <c r="O61">
        <v>9.0299999999999994</v>
      </c>
      <c r="P61" t="s">
        <v>24</v>
      </c>
      <c r="Q61" t="str">
        <f>IF(Table1[[#This Row],[Actual Calls]]&gt;=Table1[[#This Row],[Target Calls]],"Achieved","Not Achieved")</f>
        <v>Not Achieved</v>
      </c>
      <c r="R61">
        <f>IF(Table1[[#This Row],[Attendance Status]]="Absent",1,0)</f>
        <v>0</v>
      </c>
    </row>
    <row r="62" spans="1:18" hidden="1" x14ac:dyDescent="0.3">
      <c r="A62" t="s">
        <v>167</v>
      </c>
      <c r="B62" t="s">
        <v>168</v>
      </c>
      <c r="C62" t="s">
        <v>65</v>
      </c>
      <c r="D62" t="s">
        <v>54</v>
      </c>
      <c r="E62" t="s">
        <v>29</v>
      </c>
      <c r="F62">
        <v>53819</v>
      </c>
      <c r="G62">
        <v>124</v>
      </c>
      <c r="H62">
        <v>84</v>
      </c>
      <c r="I62">
        <v>42778</v>
      </c>
      <c r="J62">
        <v>25819</v>
      </c>
      <c r="K62">
        <v>9.5</v>
      </c>
      <c r="L62" t="s">
        <v>21</v>
      </c>
      <c r="M62" t="s">
        <v>22</v>
      </c>
      <c r="N62" t="s">
        <v>50</v>
      </c>
      <c r="O62">
        <v>8.84</v>
      </c>
      <c r="P62" t="s">
        <v>24</v>
      </c>
      <c r="Q62" t="str">
        <f>IF(Table1[[#This Row],[Actual Calls]]&gt;=Table1[[#This Row],[Target Calls]],"Achieved","Not Achieved")</f>
        <v>Not Achieved</v>
      </c>
      <c r="R62">
        <f>IF(Table1[[#This Row],[Attendance Status]]="Absent",1,0)</f>
        <v>0</v>
      </c>
    </row>
    <row r="63" spans="1:18" hidden="1" x14ac:dyDescent="0.3">
      <c r="A63" t="s">
        <v>169</v>
      </c>
      <c r="B63" t="s">
        <v>170</v>
      </c>
      <c r="C63" t="s">
        <v>44</v>
      </c>
      <c r="D63" t="s">
        <v>28</v>
      </c>
      <c r="E63" t="s">
        <v>29</v>
      </c>
      <c r="F63">
        <v>37700</v>
      </c>
      <c r="G63">
        <v>176</v>
      </c>
      <c r="H63">
        <v>97</v>
      </c>
      <c r="I63">
        <v>63849</v>
      </c>
      <c r="J63">
        <v>45710</v>
      </c>
      <c r="K63">
        <v>4.7</v>
      </c>
      <c r="L63" t="s">
        <v>21</v>
      </c>
      <c r="M63" t="s">
        <v>41</v>
      </c>
      <c r="N63" t="s">
        <v>23</v>
      </c>
      <c r="O63">
        <v>20.64</v>
      </c>
      <c r="P63" t="s">
        <v>51</v>
      </c>
      <c r="Q63" t="str">
        <f>IF(Table1[[#This Row],[Actual Calls]]&gt;=Table1[[#This Row],[Target Calls]],"Achieved","Not Achieved")</f>
        <v>Not Achieved</v>
      </c>
      <c r="R63">
        <f>IF(Table1[[#This Row],[Attendance Status]]="Absent",1,0)</f>
        <v>0</v>
      </c>
    </row>
    <row r="64" spans="1:18" x14ac:dyDescent="0.3">
      <c r="A64" t="s">
        <v>171</v>
      </c>
      <c r="B64" t="s">
        <v>172</v>
      </c>
      <c r="C64" t="s">
        <v>18</v>
      </c>
      <c r="D64" t="s">
        <v>54</v>
      </c>
      <c r="E64" t="s">
        <v>38</v>
      </c>
      <c r="F64">
        <v>50472</v>
      </c>
      <c r="G64">
        <v>102</v>
      </c>
      <c r="H64">
        <v>87</v>
      </c>
      <c r="I64">
        <v>83928</v>
      </c>
      <c r="J64">
        <v>30884</v>
      </c>
      <c r="K64">
        <v>6.9</v>
      </c>
      <c r="L64" t="s">
        <v>21</v>
      </c>
      <c r="M64" t="s">
        <v>22</v>
      </c>
      <c r="N64" t="s">
        <v>50</v>
      </c>
      <c r="O64">
        <v>12.61</v>
      </c>
      <c r="P64" t="s">
        <v>35</v>
      </c>
      <c r="Q64" t="str">
        <f>IF(Table1[[#This Row],[Actual Calls]]&gt;=Table1[[#This Row],[Target Calls]],"Achieved","Not Achieved")</f>
        <v>Not Achieved</v>
      </c>
      <c r="R64">
        <f>IF(Table1[[#This Row],[Attendance Status]]="Absent",1,0)</f>
        <v>0</v>
      </c>
    </row>
    <row r="65" spans="1:18" hidden="1" x14ac:dyDescent="0.3">
      <c r="A65" t="s">
        <v>173</v>
      </c>
      <c r="B65" t="s">
        <v>174</v>
      </c>
      <c r="C65" t="s">
        <v>44</v>
      </c>
      <c r="D65" t="s">
        <v>19</v>
      </c>
      <c r="E65" t="s">
        <v>61</v>
      </c>
      <c r="F65">
        <v>41717</v>
      </c>
      <c r="G65">
        <v>140</v>
      </c>
      <c r="H65">
        <v>110</v>
      </c>
      <c r="I65">
        <v>9804</v>
      </c>
      <c r="J65">
        <v>3718</v>
      </c>
      <c r="K65">
        <v>10.7</v>
      </c>
      <c r="L65" t="s">
        <v>21</v>
      </c>
      <c r="M65" t="s">
        <v>34</v>
      </c>
      <c r="N65" t="s">
        <v>58</v>
      </c>
      <c r="O65">
        <v>10.28</v>
      </c>
      <c r="P65" t="s">
        <v>35</v>
      </c>
      <c r="Q65" t="str">
        <f>IF(Table1[[#This Row],[Actual Calls]]&gt;=Table1[[#This Row],[Target Calls]],"Achieved","Not Achieved")</f>
        <v>Not Achieved</v>
      </c>
      <c r="R65">
        <f>IF(Table1[[#This Row],[Attendance Status]]="Absent",1,0)</f>
        <v>0</v>
      </c>
    </row>
    <row r="66" spans="1:18" x14ac:dyDescent="0.3">
      <c r="A66" t="s">
        <v>175</v>
      </c>
      <c r="B66" t="s">
        <v>176</v>
      </c>
      <c r="C66" t="s">
        <v>18</v>
      </c>
      <c r="D66" t="s">
        <v>33</v>
      </c>
      <c r="E66" t="s">
        <v>38</v>
      </c>
      <c r="F66">
        <v>27641</v>
      </c>
      <c r="G66">
        <v>114</v>
      </c>
      <c r="H66">
        <v>62</v>
      </c>
      <c r="I66">
        <v>60073</v>
      </c>
      <c r="J66">
        <v>36905</v>
      </c>
      <c r="K66">
        <v>7.4</v>
      </c>
      <c r="L66" t="s">
        <v>21</v>
      </c>
      <c r="M66" t="s">
        <v>41</v>
      </c>
      <c r="N66" t="s">
        <v>30</v>
      </c>
      <c r="O66">
        <v>8.3800000000000008</v>
      </c>
      <c r="P66" t="s">
        <v>24</v>
      </c>
      <c r="Q66" t="str">
        <f>IF(Table1[[#This Row],[Actual Calls]]&gt;=Table1[[#This Row],[Target Calls]],"Achieved","Not Achieved")</f>
        <v>Not Achieved</v>
      </c>
      <c r="R66">
        <f>IF(Table1[[#This Row],[Attendance Status]]="Absent",1,0)</f>
        <v>0</v>
      </c>
    </row>
    <row r="67" spans="1:18" hidden="1" x14ac:dyDescent="0.3">
      <c r="A67" t="s">
        <v>177</v>
      </c>
      <c r="B67" t="s">
        <v>178</v>
      </c>
      <c r="C67" t="s">
        <v>27</v>
      </c>
      <c r="D67" t="s">
        <v>54</v>
      </c>
      <c r="E67" t="s">
        <v>29</v>
      </c>
      <c r="F67">
        <v>36165</v>
      </c>
      <c r="G67">
        <v>136</v>
      </c>
      <c r="H67">
        <v>87</v>
      </c>
      <c r="I67">
        <v>74810</v>
      </c>
      <c r="J67">
        <v>51098</v>
      </c>
      <c r="K67">
        <v>6.8</v>
      </c>
      <c r="L67" t="s">
        <v>21</v>
      </c>
      <c r="M67" t="s">
        <v>41</v>
      </c>
      <c r="N67" t="s">
        <v>50</v>
      </c>
      <c r="O67">
        <v>12.79</v>
      </c>
      <c r="P67" t="s">
        <v>35</v>
      </c>
      <c r="Q67" t="str">
        <f>IF(Table1[[#This Row],[Actual Calls]]&gt;=Table1[[#This Row],[Target Calls]],"Achieved","Not Achieved")</f>
        <v>Not Achieved</v>
      </c>
      <c r="R67">
        <f>IF(Table1[[#This Row],[Attendance Status]]="Absent",1,0)</f>
        <v>0</v>
      </c>
    </row>
    <row r="68" spans="1:18" hidden="1" x14ac:dyDescent="0.3">
      <c r="A68" t="s">
        <v>179</v>
      </c>
      <c r="B68" t="s">
        <v>180</v>
      </c>
      <c r="C68" t="s">
        <v>44</v>
      </c>
      <c r="D68" t="s">
        <v>54</v>
      </c>
      <c r="E68" t="s">
        <v>70</v>
      </c>
      <c r="F68">
        <v>36546</v>
      </c>
      <c r="G68">
        <v>102</v>
      </c>
      <c r="H68">
        <v>67</v>
      </c>
      <c r="I68">
        <v>53456</v>
      </c>
      <c r="J68">
        <v>39178</v>
      </c>
      <c r="K68">
        <v>10.3</v>
      </c>
      <c r="L68" t="s">
        <v>21</v>
      </c>
      <c r="M68" t="s">
        <v>22</v>
      </c>
      <c r="N68" t="s">
        <v>58</v>
      </c>
      <c r="O68">
        <v>6.5</v>
      </c>
      <c r="P68" t="s">
        <v>24</v>
      </c>
      <c r="Q68" t="str">
        <f>IF(Table1[[#This Row],[Actual Calls]]&gt;=Table1[[#This Row],[Target Calls]],"Achieved","Not Achieved")</f>
        <v>Not Achieved</v>
      </c>
      <c r="R68">
        <f>IF(Table1[[#This Row],[Attendance Status]]="Absent",1,0)</f>
        <v>0</v>
      </c>
    </row>
    <row r="69" spans="1:18" hidden="1" x14ac:dyDescent="0.3">
      <c r="A69" t="s">
        <v>181</v>
      </c>
      <c r="B69" t="s">
        <v>182</v>
      </c>
      <c r="C69" t="s">
        <v>65</v>
      </c>
      <c r="D69" t="s">
        <v>33</v>
      </c>
      <c r="E69" t="s">
        <v>55</v>
      </c>
      <c r="F69">
        <v>32653</v>
      </c>
      <c r="G69">
        <v>177</v>
      </c>
      <c r="H69">
        <v>45</v>
      </c>
      <c r="I69">
        <v>21327</v>
      </c>
      <c r="J69">
        <v>66213</v>
      </c>
      <c r="K69">
        <v>7.1</v>
      </c>
      <c r="L69" t="s">
        <v>21</v>
      </c>
      <c r="M69" t="s">
        <v>73</v>
      </c>
      <c r="N69" t="s">
        <v>30</v>
      </c>
      <c r="O69">
        <v>6.34</v>
      </c>
      <c r="P69" t="s">
        <v>24</v>
      </c>
      <c r="Q69" t="str">
        <f>IF(Table1[[#This Row],[Actual Calls]]&gt;=Table1[[#This Row],[Target Calls]],"Achieved","Not Achieved")</f>
        <v>Not Achieved</v>
      </c>
      <c r="R69">
        <f>IF(Table1[[#This Row],[Attendance Status]]="Absent",1,0)</f>
        <v>0</v>
      </c>
    </row>
    <row r="70" spans="1:18" x14ac:dyDescent="0.3">
      <c r="A70" t="s">
        <v>183</v>
      </c>
      <c r="B70" t="s">
        <v>184</v>
      </c>
      <c r="C70" t="s">
        <v>18</v>
      </c>
      <c r="D70" t="s">
        <v>28</v>
      </c>
      <c r="E70" t="s">
        <v>38</v>
      </c>
      <c r="F70">
        <v>54533</v>
      </c>
      <c r="G70">
        <v>128</v>
      </c>
      <c r="H70">
        <v>41</v>
      </c>
      <c r="I70">
        <v>80417</v>
      </c>
      <c r="J70">
        <v>62769</v>
      </c>
      <c r="K70">
        <v>5.7</v>
      </c>
      <c r="L70" t="s">
        <v>21</v>
      </c>
      <c r="M70" t="s">
        <v>22</v>
      </c>
      <c r="N70" t="s">
        <v>30</v>
      </c>
      <c r="O70">
        <v>7.19</v>
      </c>
      <c r="P70" t="s">
        <v>24</v>
      </c>
      <c r="Q70" t="str">
        <f>IF(Table1[[#This Row],[Actual Calls]]&gt;=Table1[[#This Row],[Target Calls]],"Achieved","Not Achieved")</f>
        <v>Not Achieved</v>
      </c>
      <c r="R70">
        <f>IF(Table1[[#This Row],[Attendance Status]]="Absent",1,0)</f>
        <v>0</v>
      </c>
    </row>
    <row r="71" spans="1:18" hidden="1" x14ac:dyDescent="0.3">
      <c r="A71" t="s">
        <v>185</v>
      </c>
      <c r="B71" t="s">
        <v>186</v>
      </c>
      <c r="C71" t="s">
        <v>44</v>
      </c>
      <c r="D71" t="s">
        <v>45</v>
      </c>
      <c r="E71" t="s">
        <v>70</v>
      </c>
      <c r="F71">
        <v>52510</v>
      </c>
      <c r="G71">
        <v>129</v>
      </c>
      <c r="H71">
        <v>161</v>
      </c>
      <c r="I71">
        <v>44935</v>
      </c>
      <c r="J71">
        <v>35603</v>
      </c>
      <c r="K71">
        <v>9.3000000000000007</v>
      </c>
      <c r="L71" t="s">
        <v>21</v>
      </c>
      <c r="M71" t="s">
        <v>34</v>
      </c>
      <c r="N71" t="s">
        <v>47</v>
      </c>
      <c r="O71">
        <v>17.309999999999999</v>
      </c>
      <c r="P71" t="s">
        <v>35</v>
      </c>
      <c r="Q71" t="str">
        <f>IF(Table1[[#This Row],[Actual Calls]]&gt;=Table1[[#This Row],[Target Calls]],"Achieved","Not Achieved")</f>
        <v>Achieved</v>
      </c>
      <c r="R71">
        <f>IF(Table1[[#This Row],[Attendance Status]]="Absent",1,0)</f>
        <v>0</v>
      </c>
    </row>
    <row r="72" spans="1:18" x14ac:dyDescent="0.3">
      <c r="A72" t="s">
        <v>187</v>
      </c>
      <c r="B72" t="s">
        <v>188</v>
      </c>
      <c r="C72" t="s">
        <v>18</v>
      </c>
      <c r="D72" t="s">
        <v>28</v>
      </c>
      <c r="E72" t="s">
        <v>29</v>
      </c>
      <c r="F72">
        <v>52387</v>
      </c>
      <c r="G72">
        <v>177</v>
      </c>
      <c r="H72">
        <v>56</v>
      </c>
      <c r="I72">
        <v>16941</v>
      </c>
      <c r="J72">
        <v>57463</v>
      </c>
      <c r="K72">
        <v>8.9</v>
      </c>
      <c r="L72" t="s">
        <v>21</v>
      </c>
      <c r="M72" t="s">
        <v>41</v>
      </c>
      <c r="N72" t="s">
        <v>50</v>
      </c>
      <c r="O72">
        <v>6.29</v>
      </c>
      <c r="P72" t="s">
        <v>24</v>
      </c>
      <c r="Q72" t="str">
        <f>IF(Table1[[#This Row],[Actual Calls]]&gt;=Table1[[#This Row],[Target Calls]],"Achieved","Not Achieved")</f>
        <v>Not Achieved</v>
      </c>
      <c r="R72">
        <f>IF(Table1[[#This Row],[Attendance Status]]="Absent",1,0)</f>
        <v>0</v>
      </c>
    </row>
    <row r="73" spans="1:18" x14ac:dyDescent="0.3">
      <c r="A73" t="s">
        <v>189</v>
      </c>
      <c r="B73" t="s">
        <v>190</v>
      </c>
      <c r="C73" t="s">
        <v>18</v>
      </c>
      <c r="D73" t="s">
        <v>19</v>
      </c>
      <c r="E73" t="s">
        <v>70</v>
      </c>
      <c r="F73">
        <v>54066</v>
      </c>
      <c r="G73">
        <v>167</v>
      </c>
      <c r="H73">
        <v>120</v>
      </c>
      <c r="I73">
        <v>24286</v>
      </c>
      <c r="J73">
        <v>39164</v>
      </c>
      <c r="K73">
        <v>4.5999999999999996</v>
      </c>
      <c r="L73" t="s">
        <v>21</v>
      </c>
      <c r="M73" t="s">
        <v>34</v>
      </c>
      <c r="N73" t="s">
        <v>30</v>
      </c>
      <c r="O73">
        <v>26.09</v>
      </c>
      <c r="P73" t="s">
        <v>78</v>
      </c>
      <c r="Q73" t="str">
        <f>IF(Table1[[#This Row],[Actual Calls]]&gt;=Table1[[#This Row],[Target Calls]],"Achieved","Not Achieved")</f>
        <v>Not Achieved</v>
      </c>
      <c r="R73">
        <f>IF(Table1[[#This Row],[Attendance Status]]="Absent",1,0)</f>
        <v>0</v>
      </c>
    </row>
    <row r="74" spans="1:18" x14ac:dyDescent="0.3">
      <c r="A74" t="s">
        <v>191</v>
      </c>
      <c r="B74" t="s">
        <v>192</v>
      </c>
      <c r="C74" t="s">
        <v>18</v>
      </c>
      <c r="D74" t="s">
        <v>19</v>
      </c>
      <c r="E74" t="s">
        <v>55</v>
      </c>
      <c r="F74">
        <v>52369</v>
      </c>
      <c r="G74">
        <v>97</v>
      </c>
      <c r="H74">
        <v>48</v>
      </c>
      <c r="I74">
        <v>50799</v>
      </c>
      <c r="J74">
        <v>48514</v>
      </c>
      <c r="K74">
        <v>9</v>
      </c>
      <c r="L74" t="s">
        <v>21</v>
      </c>
      <c r="M74" t="s">
        <v>73</v>
      </c>
      <c r="N74" t="s">
        <v>50</v>
      </c>
      <c r="O74">
        <v>5.33</v>
      </c>
      <c r="P74" t="s">
        <v>24</v>
      </c>
      <c r="Q74" t="str">
        <f>IF(Table1[[#This Row],[Actual Calls]]&gt;=Table1[[#This Row],[Target Calls]],"Achieved","Not Achieved")</f>
        <v>Not Achieved</v>
      </c>
      <c r="R74">
        <f>IF(Table1[[#This Row],[Attendance Status]]="Absent",1,0)</f>
        <v>0</v>
      </c>
    </row>
    <row r="75" spans="1:18" x14ac:dyDescent="0.3">
      <c r="A75" t="s">
        <v>193</v>
      </c>
      <c r="B75" t="s">
        <v>194</v>
      </c>
      <c r="C75" t="s">
        <v>18</v>
      </c>
      <c r="D75" t="s">
        <v>19</v>
      </c>
      <c r="E75" t="s">
        <v>61</v>
      </c>
      <c r="F75">
        <v>48015</v>
      </c>
      <c r="G75">
        <v>108</v>
      </c>
      <c r="H75">
        <v>112</v>
      </c>
      <c r="I75">
        <v>63542</v>
      </c>
      <c r="J75">
        <v>16917</v>
      </c>
      <c r="K75">
        <v>9.6999999999999993</v>
      </c>
      <c r="L75" t="s">
        <v>21</v>
      </c>
      <c r="M75" t="s">
        <v>22</v>
      </c>
      <c r="N75" t="s">
        <v>62</v>
      </c>
      <c r="O75">
        <v>11.55</v>
      </c>
      <c r="P75" t="s">
        <v>35</v>
      </c>
      <c r="Q75" t="str">
        <f>IF(Table1[[#This Row],[Actual Calls]]&gt;=Table1[[#This Row],[Target Calls]],"Achieved","Not Achieved")</f>
        <v>Achieved</v>
      </c>
      <c r="R75">
        <f>IF(Table1[[#This Row],[Attendance Status]]="Absent",1,0)</f>
        <v>0</v>
      </c>
    </row>
    <row r="76" spans="1:18" hidden="1" x14ac:dyDescent="0.3">
      <c r="A76" t="s">
        <v>195</v>
      </c>
      <c r="B76" t="s">
        <v>196</v>
      </c>
      <c r="C76" t="s">
        <v>65</v>
      </c>
      <c r="D76" t="s">
        <v>33</v>
      </c>
      <c r="E76" t="s">
        <v>38</v>
      </c>
      <c r="F76">
        <v>33584</v>
      </c>
      <c r="G76">
        <v>142</v>
      </c>
      <c r="H76">
        <v>125</v>
      </c>
      <c r="I76">
        <v>32301</v>
      </c>
      <c r="J76">
        <v>67379</v>
      </c>
      <c r="K76">
        <v>9.6999999999999993</v>
      </c>
      <c r="L76" t="s">
        <v>46</v>
      </c>
      <c r="M76" t="s">
        <v>73</v>
      </c>
      <c r="N76" t="s">
        <v>47</v>
      </c>
      <c r="O76">
        <v>12.89</v>
      </c>
      <c r="P76" t="s">
        <v>35</v>
      </c>
      <c r="Q76" t="str">
        <f>IF(Table1[[#This Row],[Actual Calls]]&gt;=Table1[[#This Row],[Target Calls]],"Achieved","Not Achieved")</f>
        <v>Not Achieved</v>
      </c>
      <c r="R76">
        <f>IF(Table1[[#This Row],[Attendance Status]]="Absent",1,0)</f>
        <v>1</v>
      </c>
    </row>
    <row r="77" spans="1:18" hidden="1" x14ac:dyDescent="0.3">
      <c r="A77" t="s">
        <v>197</v>
      </c>
      <c r="B77" t="s">
        <v>198</v>
      </c>
      <c r="C77" t="s">
        <v>44</v>
      </c>
      <c r="D77" t="s">
        <v>28</v>
      </c>
      <c r="E77" t="s">
        <v>61</v>
      </c>
      <c r="F77">
        <v>38071</v>
      </c>
      <c r="G77">
        <v>175</v>
      </c>
      <c r="H77">
        <v>124</v>
      </c>
      <c r="I77" s="15">
        <v>50841</v>
      </c>
      <c r="J77">
        <v>13609</v>
      </c>
      <c r="K77">
        <v>5.0999999999999996</v>
      </c>
      <c r="L77" t="s">
        <v>21</v>
      </c>
      <c r="M77" t="s">
        <v>73</v>
      </c>
      <c r="N77" t="s">
        <v>23</v>
      </c>
      <c r="O77">
        <v>24.31</v>
      </c>
      <c r="P77" t="s">
        <v>51</v>
      </c>
      <c r="Q77" t="str">
        <f>IF(Table1[[#This Row],[Actual Calls]]&gt;=Table1[[#This Row],[Target Calls]],"Achieved","Not Achieved")</f>
        <v>Not Achieved</v>
      </c>
      <c r="R77">
        <f>IF(Table1[[#This Row],[Attendance Status]]="Absent",1,0)</f>
        <v>0</v>
      </c>
    </row>
    <row r="78" spans="1:18" hidden="1" x14ac:dyDescent="0.3">
      <c r="A78" t="s">
        <v>199</v>
      </c>
      <c r="B78" t="s">
        <v>200</v>
      </c>
      <c r="C78" t="s">
        <v>65</v>
      </c>
      <c r="D78" t="s">
        <v>33</v>
      </c>
      <c r="E78" t="s">
        <v>55</v>
      </c>
      <c r="F78">
        <v>45917</v>
      </c>
      <c r="G78">
        <v>83</v>
      </c>
      <c r="H78">
        <v>133</v>
      </c>
      <c r="I78" s="15">
        <v>74473</v>
      </c>
      <c r="J78">
        <v>38246</v>
      </c>
      <c r="K78">
        <v>9.4</v>
      </c>
      <c r="L78" t="s">
        <v>21</v>
      </c>
      <c r="M78" t="s">
        <v>41</v>
      </c>
      <c r="N78" t="s">
        <v>47</v>
      </c>
      <c r="O78">
        <v>14.15</v>
      </c>
      <c r="P78" t="s">
        <v>35</v>
      </c>
      <c r="Q78" t="str">
        <f>IF(Table1[[#This Row],[Actual Calls]]&gt;=Table1[[#This Row],[Target Calls]],"Achieved","Not Achieved")</f>
        <v>Achieved</v>
      </c>
      <c r="R78">
        <f>IF(Table1[[#This Row],[Attendance Status]]="Absent",1,0)</f>
        <v>0</v>
      </c>
    </row>
    <row r="79" spans="1:18" hidden="1" x14ac:dyDescent="0.3">
      <c r="A79" t="s">
        <v>201</v>
      </c>
      <c r="B79" t="s">
        <v>202</v>
      </c>
      <c r="C79" t="s">
        <v>65</v>
      </c>
      <c r="D79" t="s">
        <v>19</v>
      </c>
      <c r="E79" t="s">
        <v>20</v>
      </c>
      <c r="F79">
        <v>22883</v>
      </c>
      <c r="G79">
        <v>153</v>
      </c>
      <c r="H79">
        <v>200</v>
      </c>
      <c r="I79" s="15">
        <v>85988</v>
      </c>
      <c r="J79">
        <v>17782</v>
      </c>
      <c r="K79">
        <v>9</v>
      </c>
      <c r="L79" t="s">
        <v>21</v>
      </c>
      <c r="M79" t="s">
        <v>22</v>
      </c>
      <c r="N79" t="s">
        <v>30</v>
      </c>
      <c r="O79">
        <v>22.22</v>
      </c>
      <c r="P79" t="s">
        <v>51</v>
      </c>
      <c r="Q79" t="str">
        <f>IF(Table1[[#This Row],[Actual Calls]]&gt;=Table1[[#This Row],[Target Calls]],"Achieved","Not Achieved")</f>
        <v>Achieved</v>
      </c>
      <c r="R79">
        <f>IF(Table1[[#This Row],[Attendance Status]]="Absent",1,0)</f>
        <v>0</v>
      </c>
    </row>
    <row r="80" spans="1:18" hidden="1" x14ac:dyDescent="0.3">
      <c r="A80" t="s">
        <v>203</v>
      </c>
      <c r="B80" t="s">
        <v>204</v>
      </c>
      <c r="C80" t="s">
        <v>27</v>
      </c>
      <c r="D80" t="s">
        <v>45</v>
      </c>
      <c r="E80" t="s">
        <v>38</v>
      </c>
      <c r="F80">
        <v>44273</v>
      </c>
      <c r="G80">
        <v>168</v>
      </c>
      <c r="H80">
        <v>187</v>
      </c>
      <c r="I80" s="15">
        <v>71236</v>
      </c>
      <c r="J80">
        <v>67996</v>
      </c>
      <c r="K80">
        <v>9</v>
      </c>
      <c r="L80" t="s">
        <v>21</v>
      </c>
      <c r="M80" t="s">
        <v>34</v>
      </c>
      <c r="N80" t="s">
        <v>23</v>
      </c>
      <c r="O80">
        <v>20.78</v>
      </c>
      <c r="P80" t="s">
        <v>51</v>
      </c>
      <c r="Q80" t="str">
        <f>IF(Table1[[#This Row],[Actual Calls]]&gt;=Table1[[#This Row],[Target Calls]],"Achieved","Not Achieved")</f>
        <v>Achieved</v>
      </c>
      <c r="R80">
        <f>IF(Table1[[#This Row],[Attendance Status]]="Absent",1,0)</f>
        <v>0</v>
      </c>
    </row>
    <row r="81" spans="1:18" x14ac:dyDescent="0.3">
      <c r="A81" t="s">
        <v>205</v>
      </c>
      <c r="B81" t="s">
        <v>206</v>
      </c>
      <c r="C81" t="s">
        <v>18</v>
      </c>
      <c r="D81" t="s">
        <v>33</v>
      </c>
      <c r="E81" t="s">
        <v>55</v>
      </c>
      <c r="F81">
        <v>54130</v>
      </c>
      <c r="G81">
        <v>96</v>
      </c>
      <c r="H81">
        <v>104</v>
      </c>
      <c r="I81" s="15">
        <v>43412</v>
      </c>
      <c r="J81">
        <v>9918</v>
      </c>
      <c r="K81">
        <v>10.7</v>
      </c>
      <c r="L81" t="s">
        <v>21</v>
      </c>
      <c r="M81" t="s">
        <v>34</v>
      </c>
      <c r="N81" t="s">
        <v>47</v>
      </c>
      <c r="O81">
        <v>9.7200000000000006</v>
      </c>
      <c r="P81" t="s">
        <v>24</v>
      </c>
      <c r="Q81" t="str">
        <f>IF(Table1[[#This Row],[Actual Calls]]&gt;=Table1[[#This Row],[Target Calls]],"Achieved","Not Achieved")</f>
        <v>Achieved</v>
      </c>
      <c r="R81">
        <f>IF(Table1[[#This Row],[Attendance Status]]="Absent",1,0)</f>
        <v>0</v>
      </c>
    </row>
    <row r="82" spans="1:18" hidden="1" x14ac:dyDescent="0.3">
      <c r="A82" t="s">
        <v>207</v>
      </c>
      <c r="B82" t="s">
        <v>208</v>
      </c>
      <c r="C82" t="s">
        <v>44</v>
      </c>
      <c r="D82" t="s">
        <v>54</v>
      </c>
      <c r="E82" t="s">
        <v>70</v>
      </c>
      <c r="F82">
        <v>51588</v>
      </c>
      <c r="G82">
        <v>160</v>
      </c>
      <c r="H82">
        <v>57</v>
      </c>
      <c r="I82" s="15">
        <v>12297</v>
      </c>
      <c r="J82">
        <v>12730</v>
      </c>
      <c r="K82">
        <v>8.3000000000000007</v>
      </c>
      <c r="L82" t="s">
        <v>21</v>
      </c>
      <c r="M82" t="s">
        <v>34</v>
      </c>
      <c r="N82" t="s">
        <v>30</v>
      </c>
      <c r="O82">
        <v>6.87</v>
      </c>
      <c r="P82" t="s">
        <v>24</v>
      </c>
      <c r="Q82" t="str">
        <f>IF(Table1[[#This Row],[Actual Calls]]&gt;=Table1[[#This Row],[Target Calls]],"Achieved","Not Achieved")</f>
        <v>Not Achieved</v>
      </c>
      <c r="R82">
        <f>IF(Table1[[#This Row],[Attendance Status]]="Absent",1,0)</f>
        <v>0</v>
      </c>
    </row>
    <row r="83" spans="1:18" x14ac:dyDescent="0.3">
      <c r="A83" t="s">
        <v>209</v>
      </c>
      <c r="B83" t="s">
        <v>210</v>
      </c>
      <c r="C83" t="s">
        <v>18</v>
      </c>
      <c r="D83" t="s">
        <v>19</v>
      </c>
      <c r="E83" t="s">
        <v>29</v>
      </c>
      <c r="F83">
        <v>37089</v>
      </c>
      <c r="G83">
        <v>100</v>
      </c>
      <c r="H83">
        <v>187</v>
      </c>
      <c r="I83" s="15">
        <v>67565</v>
      </c>
      <c r="J83">
        <v>3379</v>
      </c>
      <c r="K83">
        <v>4.8</v>
      </c>
      <c r="L83" t="s">
        <v>21</v>
      </c>
      <c r="M83" t="s">
        <v>22</v>
      </c>
      <c r="N83" t="s">
        <v>30</v>
      </c>
      <c r="O83">
        <v>38.96</v>
      </c>
      <c r="P83" t="s">
        <v>78</v>
      </c>
      <c r="Q83" t="str">
        <f>IF(Table1[[#This Row],[Actual Calls]]&gt;=Table1[[#This Row],[Target Calls]],"Achieved","Not Achieved")</f>
        <v>Achieved</v>
      </c>
      <c r="R83">
        <f>IF(Table1[[#This Row],[Attendance Status]]="Absent",1,0)</f>
        <v>0</v>
      </c>
    </row>
    <row r="84" spans="1:18" hidden="1" x14ac:dyDescent="0.3">
      <c r="A84" t="s">
        <v>211</v>
      </c>
      <c r="B84" t="s">
        <v>212</v>
      </c>
      <c r="C84" t="s">
        <v>65</v>
      </c>
      <c r="D84" t="s">
        <v>19</v>
      </c>
      <c r="E84" t="s">
        <v>38</v>
      </c>
      <c r="F84">
        <v>50847</v>
      </c>
      <c r="G84">
        <v>141</v>
      </c>
      <c r="H84">
        <v>42</v>
      </c>
      <c r="I84" s="15">
        <v>70273</v>
      </c>
      <c r="J84">
        <v>37457</v>
      </c>
      <c r="K84">
        <v>5</v>
      </c>
      <c r="L84" t="s">
        <v>21</v>
      </c>
      <c r="M84" t="s">
        <v>73</v>
      </c>
      <c r="N84" t="s">
        <v>47</v>
      </c>
      <c r="O84">
        <v>8.4</v>
      </c>
      <c r="P84" t="s">
        <v>24</v>
      </c>
      <c r="Q84" t="str">
        <f>IF(Table1[[#This Row],[Actual Calls]]&gt;=Table1[[#This Row],[Target Calls]],"Achieved","Not Achieved")</f>
        <v>Not Achieved</v>
      </c>
      <c r="R84">
        <f>IF(Table1[[#This Row],[Attendance Status]]="Absent",1,0)</f>
        <v>0</v>
      </c>
    </row>
    <row r="85" spans="1:18" x14ac:dyDescent="0.3">
      <c r="A85" t="s">
        <v>213</v>
      </c>
      <c r="B85" t="s">
        <v>214</v>
      </c>
      <c r="C85" t="s">
        <v>18</v>
      </c>
      <c r="D85" t="s">
        <v>19</v>
      </c>
      <c r="E85" t="s">
        <v>29</v>
      </c>
      <c r="F85">
        <v>42710</v>
      </c>
      <c r="G85">
        <v>93</v>
      </c>
      <c r="H85">
        <v>122</v>
      </c>
      <c r="I85" s="15">
        <v>68131</v>
      </c>
      <c r="J85">
        <v>22514</v>
      </c>
      <c r="K85">
        <v>7.7</v>
      </c>
      <c r="L85" t="s">
        <v>21</v>
      </c>
      <c r="M85" t="s">
        <v>34</v>
      </c>
      <c r="N85" t="s">
        <v>58</v>
      </c>
      <c r="O85">
        <v>15.84</v>
      </c>
      <c r="P85" t="s">
        <v>35</v>
      </c>
      <c r="Q85" t="str">
        <f>IF(Table1[[#This Row],[Actual Calls]]&gt;=Table1[[#This Row],[Target Calls]],"Achieved","Not Achieved")</f>
        <v>Achieved</v>
      </c>
      <c r="R85">
        <f>IF(Table1[[#This Row],[Attendance Status]]="Absent",1,0)</f>
        <v>0</v>
      </c>
    </row>
    <row r="86" spans="1:18" hidden="1" x14ac:dyDescent="0.3">
      <c r="A86" t="s">
        <v>215</v>
      </c>
      <c r="B86" t="s">
        <v>216</v>
      </c>
      <c r="C86" t="s">
        <v>27</v>
      </c>
      <c r="D86" t="s">
        <v>19</v>
      </c>
      <c r="E86" t="s">
        <v>61</v>
      </c>
      <c r="F86">
        <v>38752</v>
      </c>
      <c r="G86">
        <v>96</v>
      </c>
      <c r="H86">
        <v>80</v>
      </c>
      <c r="I86" s="15">
        <v>76262</v>
      </c>
      <c r="J86">
        <v>45894</v>
      </c>
      <c r="K86">
        <v>7.5</v>
      </c>
      <c r="L86" t="s">
        <v>21</v>
      </c>
      <c r="M86" t="s">
        <v>73</v>
      </c>
      <c r="N86" t="s">
        <v>23</v>
      </c>
      <c r="O86">
        <v>10.67</v>
      </c>
      <c r="P86" t="s">
        <v>35</v>
      </c>
      <c r="Q86" t="str">
        <f>IF(Table1[[#This Row],[Actual Calls]]&gt;=Table1[[#This Row],[Target Calls]],"Achieved","Not Achieved")</f>
        <v>Not Achieved</v>
      </c>
      <c r="R86">
        <f>IF(Table1[[#This Row],[Attendance Status]]="Absent",1,0)</f>
        <v>0</v>
      </c>
    </row>
    <row r="87" spans="1:18" x14ac:dyDescent="0.3">
      <c r="A87" t="s">
        <v>217</v>
      </c>
      <c r="B87" t="s">
        <v>218</v>
      </c>
      <c r="C87" t="s">
        <v>18</v>
      </c>
      <c r="D87" t="s">
        <v>45</v>
      </c>
      <c r="E87" t="s">
        <v>29</v>
      </c>
      <c r="F87">
        <v>27046</v>
      </c>
      <c r="G87">
        <v>119</v>
      </c>
      <c r="H87">
        <v>97</v>
      </c>
      <c r="I87" s="15">
        <v>7173</v>
      </c>
      <c r="J87">
        <v>63851</v>
      </c>
      <c r="K87">
        <v>6.9</v>
      </c>
      <c r="L87" t="s">
        <v>21</v>
      </c>
      <c r="M87" t="s">
        <v>34</v>
      </c>
      <c r="N87" t="s">
        <v>47</v>
      </c>
      <c r="O87">
        <v>14.06</v>
      </c>
      <c r="P87" t="s">
        <v>35</v>
      </c>
      <c r="Q87" t="str">
        <f>IF(Table1[[#This Row],[Actual Calls]]&gt;=Table1[[#This Row],[Target Calls]],"Achieved","Not Achieved")</f>
        <v>Not Achieved</v>
      </c>
      <c r="R87">
        <f>IF(Table1[[#This Row],[Attendance Status]]="Absent",1,0)</f>
        <v>0</v>
      </c>
    </row>
    <row r="88" spans="1:18" x14ac:dyDescent="0.3">
      <c r="A88" t="s">
        <v>219</v>
      </c>
      <c r="B88" t="s">
        <v>220</v>
      </c>
      <c r="C88" t="s">
        <v>18</v>
      </c>
      <c r="D88" t="s">
        <v>45</v>
      </c>
      <c r="E88" t="s">
        <v>70</v>
      </c>
      <c r="F88">
        <v>29725</v>
      </c>
      <c r="G88">
        <v>135</v>
      </c>
      <c r="H88">
        <v>83</v>
      </c>
      <c r="I88" s="15">
        <v>66374</v>
      </c>
      <c r="J88">
        <v>9400</v>
      </c>
      <c r="K88">
        <v>10.199999999999999</v>
      </c>
      <c r="L88" t="s">
        <v>21</v>
      </c>
      <c r="M88" t="s">
        <v>34</v>
      </c>
      <c r="N88" t="s">
        <v>58</v>
      </c>
      <c r="O88">
        <v>8.14</v>
      </c>
      <c r="P88" t="s">
        <v>24</v>
      </c>
      <c r="Q88" t="str">
        <f>IF(Table1[[#This Row],[Actual Calls]]&gt;=Table1[[#This Row],[Target Calls]],"Achieved","Not Achieved")</f>
        <v>Not Achieved</v>
      </c>
      <c r="R88">
        <f>IF(Table1[[#This Row],[Attendance Status]]="Absent",1,0)</f>
        <v>0</v>
      </c>
    </row>
    <row r="89" spans="1:18" hidden="1" x14ac:dyDescent="0.3">
      <c r="A89" t="s">
        <v>221</v>
      </c>
      <c r="B89" t="s">
        <v>222</v>
      </c>
      <c r="C89" t="s">
        <v>27</v>
      </c>
      <c r="D89" t="s">
        <v>33</v>
      </c>
      <c r="E89" t="s">
        <v>38</v>
      </c>
      <c r="F89">
        <v>34628</v>
      </c>
      <c r="G89">
        <v>88</v>
      </c>
      <c r="H89">
        <v>41</v>
      </c>
      <c r="I89" s="15">
        <v>80953</v>
      </c>
      <c r="J89">
        <v>39672</v>
      </c>
      <c r="K89">
        <v>9</v>
      </c>
      <c r="L89" t="s">
        <v>46</v>
      </c>
      <c r="M89" t="s">
        <v>73</v>
      </c>
      <c r="N89" t="s">
        <v>50</v>
      </c>
      <c r="O89">
        <v>4.5599999999999996</v>
      </c>
      <c r="P89" t="s">
        <v>24</v>
      </c>
      <c r="Q89" t="str">
        <f>IF(Table1[[#This Row],[Actual Calls]]&gt;=Table1[[#This Row],[Target Calls]],"Achieved","Not Achieved")</f>
        <v>Not Achieved</v>
      </c>
      <c r="R89">
        <f>IF(Table1[[#This Row],[Attendance Status]]="Absent",1,0)</f>
        <v>1</v>
      </c>
    </row>
    <row r="90" spans="1:18" hidden="1" x14ac:dyDescent="0.3">
      <c r="A90" t="s">
        <v>223</v>
      </c>
      <c r="B90" t="s">
        <v>224</v>
      </c>
      <c r="C90" t="s">
        <v>65</v>
      </c>
      <c r="D90" t="s">
        <v>33</v>
      </c>
      <c r="E90" t="s">
        <v>29</v>
      </c>
      <c r="F90">
        <v>30446</v>
      </c>
      <c r="G90">
        <v>91</v>
      </c>
      <c r="H90">
        <v>134</v>
      </c>
      <c r="I90" s="15">
        <v>8551</v>
      </c>
      <c r="J90">
        <v>20945</v>
      </c>
      <c r="K90">
        <v>8.6999999999999993</v>
      </c>
      <c r="L90" t="s">
        <v>21</v>
      </c>
      <c r="M90" t="s">
        <v>22</v>
      </c>
      <c r="N90" t="s">
        <v>62</v>
      </c>
      <c r="O90">
        <v>15.4</v>
      </c>
      <c r="P90" t="s">
        <v>35</v>
      </c>
      <c r="Q90" t="str">
        <f>IF(Table1[[#This Row],[Actual Calls]]&gt;=Table1[[#This Row],[Target Calls]],"Achieved","Not Achieved")</f>
        <v>Achieved</v>
      </c>
      <c r="R90">
        <f>IF(Table1[[#This Row],[Attendance Status]]="Absent",1,0)</f>
        <v>0</v>
      </c>
    </row>
    <row r="91" spans="1:18" hidden="1" x14ac:dyDescent="0.3">
      <c r="A91" t="s">
        <v>225</v>
      </c>
      <c r="B91" t="s">
        <v>226</v>
      </c>
      <c r="C91" t="s">
        <v>65</v>
      </c>
      <c r="D91" t="s">
        <v>33</v>
      </c>
      <c r="E91" t="s">
        <v>38</v>
      </c>
      <c r="F91">
        <v>31454</v>
      </c>
      <c r="G91">
        <v>108</v>
      </c>
      <c r="H91">
        <v>150</v>
      </c>
      <c r="I91" s="15">
        <v>51867</v>
      </c>
      <c r="J91">
        <v>31155</v>
      </c>
      <c r="K91">
        <v>6.7</v>
      </c>
      <c r="L91" t="s">
        <v>21</v>
      </c>
      <c r="M91" t="s">
        <v>73</v>
      </c>
      <c r="N91" t="s">
        <v>23</v>
      </c>
      <c r="O91">
        <v>22.39</v>
      </c>
      <c r="P91" t="s">
        <v>51</v>
      </c>
      <c r="Q91" t="str">
        <f>IF(Table1[[#This Row],[Actual Calls]]&gt;=Table1[[#This Row],[Target Calls]],"Achieved","Not Achieved")</f>
        <v>Achieved</v>
      </c>
      <c r="R91">
        <f>IF(Table1[[#This Row],[Attendance Status]]="Absent",1,0)</f>
        <v>0</v>
      </c>
    </row>
    <row r="92" spans="1:18" x14ac:dyDescent="0.3">
      <c r="A92" t="s">
        <v>227</v>
      </c>
      <c r="B92" t="s">
        <v>228</v>
      </c>
      <c r="C92" t="s">
        <v>18</v>
      </c>
      <c r="D92" t="s">
        <v>28</v>
      </c>
      <c r="E92" t="s">
        <v>55</v>
      </c>
      <c r="F92">
        <v>24247</v>
      </c>
      <c r="G92">
        <v>125</v>
      </c>
      <c r="H92">
        <v>122</v>
      </c>
      <c r="I92" s="15">
        <v>88776</v>
      </c>
      <c r="J92">
        <v>19285</v>
      </c>
      <c r="K92">
        <v>8.3000000000000007</v>
      </c>
      <c r="L92" t="s">
        <v>46</v>
      </c>
      <c r="M92" t="s">
        <v>34</v>
      </c>
      <c r="N92" t="s">
        <v>50</v>
      </c>
      <c r="O92">
        <v>14.7</v>
      </c>
      <c r="P92" t="s">
        <v>35</v>
      </c>
      <c r="Q92" t="str">
        <f>IF(Table1[[#This Row],[Actual Calls]]&gt;=Table1[[#This Row],[Target Calls]],"Achieved","Not Achieved")</f>
        <v>Not Achieved</v>
      </c>
      <c r="R92">
        <f>IF(Table1[[#This Row],[Attendance Status]]="Absent",1,0)</f>
        <v>1</v>
      </c>
    </row>
    <row r="93" spans="1:18" x14ac:dyDescent="0.3">
      <c r="A93" t="s">
        <v>229</v>
      </c>
      <c r="B93" t="s">
        <v>230</v>
      </c>
      <c r="C93" t="s">
        <v>18</v>
      </c>
      <c r="D93" t="s">
        <v>54</v>
      </c>
      <c r="E93" t="s">
        <v>70</v>
      </c>
      <c r="F93">
        <v>38309</v>
      </c>
      <c r="G93">
        <v>165</v>
      </c>
      <c r="H93">
        <v>126</v>
      </c>
      <c r="I93" s="15">
        <v>21156</v>
      </c>
      <c r="J93">
        <v>14105</v>
      </c>
      <c r="K93">
        <v>8.6</v>
      </c>
      <c r="L93" t="s">
        <v>21</v>
      </c>
      <c r="M93" t="s">
        <v>34</v>
      </c>
      <c r="N93" t="s">
        <v>30</v>
      </c>
      <c r="O93">
        <v>14.65</v>
      </c>
      <c r="P93" t="s">
        <v>35</v>
      </c>
      <c r="Q93" t="str">
        <f>IF(Table1[[#This Row],[Actual Calls]]&gt;=Table1[[#This Row],[Target Calls]],"Achieved","Not Achieved")</f>
        <v>Not Achieved</v>
      </c>
      <c r="R93">
        <f>IF(Table1[[#This Row],[Attendance Status]]="Absent",1,0)</f>
        <v>0</v>
      </c>
    </row>
    <row r="94" spans="1:18" hidden="1" x14ac:dyDescent="0.3">
      <c r="A94" t="s">
        <v>231</v>
      </c>
      <c r="B94" t="s">
        <v>232</v>
      </c>
      <c r="C94" t="s">
        <v>65</v>
      </c>
      <c r="D94" t="s">
        <v>33</v>
      </c>
      <c r="E94" t="s">
        <v>38</v>
      </c>
      <c r="F94">
        <v>37344</v>
      </c>
      <c r="G94">
        <v>178</v>
      </c>
      <c r="H94">
        <v>179</v>
      </c>
      <c r="I94" s="15">
        <v>47883</v>
      </c>
      <c r="J94">
        <v>16119</v>
      </c>
      <c r="K94">
        <v>7.5</v>
      </c>
      <c r="L94" t="s">
        <v>46</v>
      </c>
      <c r="M94" t="s">
        <v>73</v>
      </c>
      <c r="N94" t="s">
        <v>30</v>
      </c>
      <c r="O94">
        <v>23.87</v>
      </c>
      <c r="P94" t="s">
        <v>51</v>
      </c>
      <c r="Q94" t="str">
        <f>IF(Table1[[#This Row],[Actual Calls]]&gt;=Table1[[#This Row],[Target Calls]],"Achieved","Not Achieved")</f>
        <v>Achieved</v>
      </c>
      <c r="R94">
        <f>IF(Table1[[#This Row],[Attendance Status]]="Absent",1,0)</f>
        <v>1</v>
      </c>
    </row>
    <row r="95" spans="1:18" x14ac:dyDescent="0.3">
      <c r="A95" t="s">
        <v>233</v>
      </c>
      <c r="B95" t="s">
        <v>234</v>
      </c>
      <c r="C95" t="s">
        <v>18</v>
      </c>
      <c r="D95" t="s">
        <v>45</v>
      </c>
      <c r="E95" t="s">
        <v>55</v>
      </c>
      <c r="F95">
        <v>50191</v>
      </c>
      <c r="G95">
        <v>90</v>
      </c>
      <c r="H95">
        <v>156</v>
      </c>
      <c r="I95" s="15">
        <v>25794</v>
      </c>
      <c r="J95">
        <v>43905</v>
      </c>
      <c r="K95">
        <v>8.4</v>
      </c>
      <c r="L95" t="s">
        <v>21</v>
      </c>
      <c r="M95" t="s">
        <v>41</v>
      </c>
      <c r="N95" t="s">
        <v>50</v>
      </c>
      <c r="O95">
        <v>18.57</v>
      </c>
      <c r="P95" t="s">
        <v>51</v>
      </c>
      <c r="Q95" t="str">
        <f>IF(Table1[[#This Row],[Actual Calls]]&gt;=Table1[[#This Row],[Target Calls]],"Achieved","Not Achieved")</f>
        <v>Achieved</v>
      </c>
      <c r="R95">
        <f>IF(Table1[[#This Row],[Attendance Status]]="Absent",1,0)</f>
        <v>0</v>
      </c>
    </row>
    <row r="96" spans="1:18" hidden="1" x14ac:dyDescent="0.3">
      <c r="A96" t="s">
        <v>235</v>
      </c>
      <c r="B96" t="s">
        <v>236</v>
      </c>
      <c r="C96" t="s">
        <v>44</v>
      </c>
      <c r="D96" t="s">
        <v>33</v>
      </c>
      <c r="E96" t="s">
        <v>70</v>
      </c>
      <c r="F96">
        <v>28354</v>
      </c>
      <c r="G96">
        <v>103</v>
      </c>
      <c r="H96">
        <v>149</v>
      </c>
      <c r="I96" s="15">
        <v>37156</v>
      </c>
      <c r="J96">
        <v>50857</v>
      </c>
      <c r="K96">
        <v>9.6</v>
      </c>
      <c r="L96" t="s">
        <v>21</v>
      </c>
      <c r="M96" t="s">
        <v>41</v>
      </c>
      <c r="N96" t="s">
        <v>47</v>
      </c>
      <c r="O96">
        <v>15.52</v>
      </c>
      <c r="P96" t="s">
        <v>35</v>
      </c>
      <c r="Q96" t="str">
        <f>IF(Table1[[#This Row],[Actual Calls]]&gt;=Table1[[#This Row],[Target Calls]],"Achieved","Not Achieved")</f>
        <v>Achieved</v>
      </c>
      <c r="R96">
        <f>IF(Table1[[#This Row],[Attendance Status]]="Absent",1,0)</f>
        <v>0</v>
      </c>
    </row>
    <row r="97" spans="1:18" hidden="1" x14ac:dyDescent="0.3">
      <c r="A97" t="s">
        <v>237</v>
      </c>
      <c r="B97" t="s">
        <v>238</v>
      </c>
      <c r="C97" t="s">
        <v>44</v>
      </c>
      <c r="D97" t="s">
        <v>28</v>
      </c>
      <c r="E97" t="s">
        <v>55</v>
      </c>
      <c r="F97">
        <v>54331</v>
      </c>
      <c r="G97">
        <v>139</v>
      </c>
      <c r="H97">
        <v>149</v>
      </c>
      <c r="I97" s="15">
        <v>61964</v>
      </c>
      <c r="J97">
        <v>21996</v>
      </c>
      <c r="K97">
        <v>10.8</v>
      </c>
      <c r="L97" t="s">
        <v>21</v>
      </c>
      <c r="M97" t="s">
        <v>41</v>
      </c>
      <c r="N97" t="s">
        <v>62</v>
      </c>
      <c r="O97">
        <v>13.8</v>
      </c>
      <c r="P97" t="s">
        <v>35</v>
      </c>
      <c r="Q97" t="str">
        <f>IF(Table1[[#This Row],[Actual Calls]]&gt;=Table1[[#This Row],[Target Calls]],"Achieved","Not Achieved")</f>
        <v>Achieved</v>
      </c>
      <c r="R97">
        <f>IF(Table1[[#This Row],[Attendance Status]]="Absent",1,0)</f>
        <v>0</v>
      </c>
    </row>
    <row r="98" spans="1:18" hidden="1" x14ac:dyDescent="0.3">
      <c r="A98" t="s">
        <v>239</v>
      </c>
      <c r="B98" t="s">
        <v>240</v>
      </c>
      <c r="C98" t="s">
        <v>65</v>
      </c>
      <c r="D98" t="s">
        <v>45</v>
      </c>
      <c r="E98" t="s">
        <v>20</v>
      </c>
      <c r="F98">
        <v>53952</v>
      </c>
      <c r="G98">
        <v>94</v>
      </c>
      <c r="H98">
        <v>199</v>
      </c>
      <c r="I98" s="15">
        <v>60147</v>
      </c>
      <c r="J98">
        <v>4636</v>
      </c>
      <c r="K98">
        <v>5.5</v>
      </c>
      <c r="L98" t="s">
        <v>21</v>
      </c>
      <c r="M98" t="s">
        <v>34</v>
      </c>
      <c r="N98" t="s">
        <v>23</v>
      </c>
      <c r="O98">
        <v>36.18</v>
      </c>
      <c r="P98" t="s">
        <v>78</v>
      </c>
      <c r="Q98" t="str">
        <f>IF(Table1[[#This Row],[Actual Calls]]&gt;=Table1[[#This Row],[Target Calls]],"Achieved","Not Achieved")</f>
        <v>Achieved</v>
      </c>
      <c r="R98">
        <f>IF(Table1[[#This Row],[Attendance Status]]="Absent",1,0)</f>
        <v>0</v>
      </c>
    </row>
    <row r="99" spans="1:18" hidden="1" x14ac:dyDescent="0.3">
      <c r="A99" t="s">
        <v>241</v>
      </c>
      <c r="B99" t="s">
        <v>242</v>
      </c>
      <c r="C99" t="s">
        <v>44</v>
      </c>
      <c r="D99" t="s">
        <v>54</v>
      </c>
      <c r="E99" t="s">
        <v>20</v>
      </c>
      <c r="F99">
        <v>44293</v>
      </c>
      <c r="G99">
        <v>136</v>
      </c>
      <c r="H99">
        <v>60</v>
      </c>
      <c r="I99" s="15">
        <v>68688</v>
      </c>
      <c r="J99">
        <v>69961</v>
      </c>
      <c r="K99">
        <v>7.4</v>
      </c>
      <c r="L99" t="s">
        <v>21</v>
      </c>
      <c r="M99" t="s">
        <v>34</v>
      </c>
      <c r="N99" t="s">
        <v>23</v>
      </c>
      <c r="O99">
        <v>8.11</v>
      </c>
      <c r="P99" t="s">
        <v>24</v>
      </c>
      <c r="Q99" t="str">
        <f>IF(Table1[[#This Row],[Actual Calls]]&gt;=Table1[[#This Row],[Target Calls]],"Achieved","Not Achieved")</f>
        <v>Not Achieved</v>
      </c>
      <c r="R99">
        <f>IF(Table1[[#This Row],[Attendance Status]]="Absent",1,0)</f>
        <v>0</v>
      </c>
    </row>
    <row r="100" spans="1:18" x14ac:dyDescent="0.3">
      <c r="A100" t="s">
        <v>243</v>
      </c>
      <c r="B100" t="s">
        <v>244</v>
      </c>
      <c r="C100" t="s">
        <v>18</v>
      </c>
      <c r="D100" t="s">
        <v>33</v>
      </c>
      <c r="E100" t="s">
        <v>61</v>
      </c>
      <c r="F100">
        <v>31736</v>
      </c>
      <c r="G100">
        <v>106</v>
      </c>
      <c r="H100">
        <v>189</v>
      </c>
      <c r="I100" s="15">
        <v>59550</v>
      </c>
      <c r="J100">
        <v>67050</v>
      </c>
      <c r="K100">
        <v>5.0999999999999996</v>
      </c>
      <c r="L100" t="s">
        <v>21</v>
      </c>
      <c r="M100" t="s">
        <v>34</v>
      </c>
      <c r="N100" t="s">
        <v>47</v>
      </c>
      <c r="O100">
        <v>37.06</v>
      </c>
      <c r="P100" t="s">
        <v>78</v>
      </c>
      <c r="Q100" t="str">
        <f>IF(Table1[[#This Row],[Actual Calls]]&gt;=Table1[[#This Row],[Target Calls]],"Achieved","Not Achieved")</f>
        <v>Achieved</v>
      </c>
      <c r="R100">
        <f>IF(Table1[[#This Row],[Attendance Status]]="Absent",1,0)</f>
        <v>0</v>
      </c>
    </row>
    <row r="101" spans="1:18" hidden="1" x14ac:dyDescent="0.3">
      <c r="A101" t="s">
        <v>245</v>
      </c>
      <c r="B101" t="s">
        <v>246</v>
      </c>
      <c r="C101" t="s">
        <v>65</v>
      </c>
      <c r="D101" t="s">
        <v>19</v>
      </c>
      <c r="E101" t="s">
        <v>55</v>
      </c>
      <c r="F101">
        <v>39444</v>
      </c>
      <c r="G101">
        <v>116</v>
      </c>
      <c r="H101">
        <v>68</v>
      </c>
      <c r="I101" s="15">
        <v>41200</v>
      </c>
      <c r="J101">
        <v>62880</v>
      </c>
      <c r="K101">
        <v>8.8000000000000007</v>
      </c>
      <c r="L101" t="s">
        <v>21</v>
      </c>
      <c r="M101" t="s">
        <v>41</v>
      </c>
      <c r="N101" t="s">
        <v>50</v>
      </c>
      <c r="O101">
        <v>7.73</v>
      </c>
      <c r="P101" t="s">
        <v>24</v>
      </c>
      <c r="Q101" t="str">
        <f>IF(Table1[[#This Row],[Actual Calls]]&gt;=Table1[[#This Row],[Target Calls]],"Achieved","Not Achieved")</f>
        <v>Not Achieved</v>
      </c>
      <c r="R101">
        <f>IF(Table1[[#This Row],[Attendance Status]]="Absent",1,0)</f>
        <v>0</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29323-CC84-4D48-BF22-D0B02BA61AE6}">
  <dimension ref="A1:L20"/>
  <sheetViews>
    <sheetView workbookViewId="0">
      <selection activeCell="E15" sqref="E15:H20"/>
    </sheetView>
  </sheetViews>
  <sheetFormatPr defaultRowHeight="14.4" x14ac:dyDescent="0.3"/>
  <cols>
    <col min="1" max="1" width="10.77734375" bestFit="1" customWidth="1"/>
    <col min="2" max="2" width="22.44140625" bestFit="1" customWidth="1"/>
    <col min="3" max="3" width="23.44140625" bestFit="1" customWidth="1"/>
    <col min="5" max="5" width="10.77734375" bestFit="1" customWidth="1"/>
    <col min="6" max="6" width="19.21875" bestFit="1" customWidth="1"/>
    <col min="7" max="7" width="22.88671875" bestFit="1" customWidth="1"/>
    <col min="8" max="8" width="13.33203125" customWidth="1"/>
    <col min="9" max="9" width="8.77734375" customWidth="1"/>
    <col min="10" max="10" width="13.44140625" bestFit="1" customWidth="1"/>
    <col min="11" max="11" width="22.44140625" bestFit="1" customWidth="1"/>
    <col min="12" max="12" width="26.6640625" bestFit="1" customWidth="1"/>
    <col min="13" max="110" width="6" bestFit="1" customWidth="1"/>
    <col min="111" max="111" width="10.77734375" bestFit="1" customWidth="1"/>
  </cols>
  <sheetData>
    <row r="1" spans="1:12" ht="25.8" x14ac:dyDescent="0.5">
      <c r="A1" s="14" t="s">
        <v>251</v>
      </c>
      <c r="B1" s="1"/>
      <c r="C1" s="1"/>
      <c r="E1" s="14" t="s">
        <v>252</v>
      </c>
      <c r="F1" s="1"/>
      <c r="G1" s="1"/>
      <c r="J1" s="14" t="s">
        <v>264</v>
      </c>
      <c r="K1" s="1"/>
      <c r="L1" s="1"/>
    </row>
    <row r="3" spans="1:12" x14ac:dyDescent="0.3">
      <c r="A3" s="11" t="s">
        <v>2</v>
      </c>
      <c r="B3" t="s">
        <v>249</v>
      </c>
      <c r="C3" t="s">
        <v>250</v>
      </c>
      <c r="E3" s="11" t="s">
        <v>253</v>
      </c>
      <c r="F3" t="s">
        <v>249</v>
      </c>
      <c r="G3" t="s">
        <v>250</v>
      </c>
      <c r="J3" s="11" t="s">
        <v>13</v>
      </c>
      <c r="K3" t="s">
        <v>255</v>
      </c>
      <c r="L3" t="s">
        <v>265</v>
      </c>
    </row>
    <row r="4" spans="1:12" x14ac:dyDescent="0.3">
      <c r="A4" s="12" t="s">
        <v>18</v>
      </c>
      <c r="B4" s="15">
        <v>1683765</v>
      </c>
      <c r="C4" s="15">
        <v>1103196</v>
      </c>
      <c r="E4" s="12" t="s">
        <v>45</v>
      </c>
      <c r="F4" s="25">
        <v>783150</v>
      </c>
      <c r="G4" s="25">
        <v>479147</v>
      </c>
      <c r="J4" s="12" t="s">
        <v>62</v>
      </c>
      <c r="K4" s="15">
        <v>51743.63636363636</v>
      </c>
      <c r="L4" s="15">
        <v>42255.727272727272</v>
      </c>
    </row>
    <row r="5" spans="1:12" x14ac:dyDescent="0.3">
      <c r="A5" s="12" t="s">
        <v>65</v>
      </c>
      <c r="B5" s="15">
        <v>991519</v>
      </c>
      <c r="C5" s="15">
        <v>661050</v>
      </c>
      <c r="E5" s="12" t="s">
        <v>54</v>
      </c>
      <c r="F5" s="25">
        <v>775356</v>
      </c>
      <c r="G5" s="25">
        <v>726414</v>
      </c>
      <c r="J5" s="12" t="s">
        <v>50</v>
      </c>
      <c r="K5" s="15">
        <v>48762.277777777781</v>
      </c>
      <c r="L5" s="15">
        <v>36093.722222222219</v>
      </c>
    </row>
    <row r="6" spans="1:12" x14ac:dyDescent="0.3">
      <c r="A6" s="12" t="s">
        <v>44</v>
      </c>
      <c r="B6" s="15">
        <v>1034118</v>
      </c>
      <c r="C6" s="15">
        <v>768208</v>
      </c>
      <c r="E6" s="12" t="s">
        <v>28</v>
      </c>
      <c r="F6" s="25">
        <v>813983</v>
      </c>
      <c r="G6" s="25">
        <v>436807</v>
      </c>
      <c r="J6" s="12" t="s">
        <v>23</v>
      </c>
      <c r="K6" s="15">
        <v>55960.5</v>
      </c>
      <c r="L6" s="15">
        <v>31216.125</v>
      </c>
    </row>
    <row r="7" spans="1:12" x14ac:dyDescent="0.3">
      <c r="A7" s="12" t="s">
        <v>27</v>
      </c>
      <c r="B7" s="15">
        <v>1270489</v>
      </c>
      <c r="C7" s="15">
        <v>858014</v>
      </c>
      <c r="E7" s="12" t="s">
        <v>33</v>
      </c>
      <c r="F7" s="25">
        <v>1310779</v>
      </c>
      <c r="G7" s="25">
        <v>870101</v>
      </c>
      <c r="J7" s="12" t="s">
        <v>58</v>
      </c>
      <c r="K7" s="15">
        <v>42144.181818181816</v>
      </c>
      <c r="L7" s="15">
        <v>35948.181818181816</v>
      </c>
    </row>
    <row r="8" spans="1:12" x14ac:dyDescent="0.3">
      <c r="A8" s="12" t="s">
        <v>248</v>
      </c>
      <c r="B8" s="15">
        <v>4979891</v>
      </c>
      <c r="C8" s="15">
        <v>3390468</v>
      </c>
      <c r="E8" s="12" t="s">
        <v>19</v>
      </c>
      <c r="F8" s="25">
        <v>1296623</v>
      </c>
      <c r="G8" s="25">
        <v>877999</v>
      </c>
      <c r="J8" s="12" t="s">
        <v>30</v>
      </c>
      <c r="K8" s="15">
        <v>49999.576923076922</v>
      </c>
      <c r="L8" s="15">
        <v>27421.73076923077</v>
      </c>
    </row>
    <row r="9" spans="1:12" x14ac:dyDescent="0.3">
      <c r="E9" s="12" t="s">
        <v>248</v>
      </c>
      <c r="F9" s="25">
        <v>4979891</v>
      </c>
      <c r="G9" s="25">
        <v>3390468</v>
      </c>
      <c r="J9" s="12" t="s">
        <v>47</v>
      </c>
      <c r="K9" s="15">
        <v>48558.166666666664</v>
      </c>
      <c r="L9" s="15">
        <v>37117.5</v>
      </c>
    </row>
    <row r="10" spans="1:12" x14ac:dyDescent="0.3">
      <c r="J10" s="12" t="s">
        <v>248</v>
      </c>
      <c r="K10" s="25">
        <v>49798.91</v>
      </c>
      <c r="L10" s="25">
        <v>33904.68</v>
      </c>
    </row>
    <row r="13" spans="1:12" ht="25.8" x14ac:dyDescent="0.5">
      <c r="A13" s="14" t="s">
        <v>254</v>
      </c>
      <c r="B13" s="1"/>
      <c r="C13" s="1"/>
      <c r="E13" s="14" t="s">
        <v>257</v>
      </c>
      <c r="F13" s="1"/>
      <c r="G13" s="1"/>
      <c r="H13" s="1"/>
      <c r="J13" s="14" t="s">
        <v>262</v>
      </c>
      <c r="K13" s="1"/>
    </row>
    <row r="15" spans="1:12" x14ac:dyDescent="0.3">
      <c r="A15" s="11" t="s">
        <v>12</v>
      </c>
      <c r="B15" t="s">
        <v>255</v>
      </c>
      <c r="C15" t="s">
        <v>256</v>
      </c>
      <c r="E15" s="11" t="s">
        <v>2</v>
      </c>
      <c r="F15" t="s">
        <v>259</v>
      </c>
      <c r="G15" t="s">
        <v>261</v>
      </c>
      <c r="H15" s="13" t="s">
        <v>260</v>
      </c>
      <c r="J15" s="11" t="s">
        <v>263</v>
      </c>
      <c r="K15" t="s">
        <v>261</v>
      </c>
    </row>
    <row r="16" spans="1:12" x14ac:dyDescent="0.3">
      <c r="A16" s="12" t="s">
        <v>22</v>
      </c>
      <c r="B16" s="15">
        <v>49814.083333333336</v>
      </c>
      <c r="C16" s="15">
        <v>110.45833333333333</v>
      </c>
      <c r="E16" s="12" t="s">
        <v>18</v>
      </c>
      <c r="F16" s="25">
        <v>4</v>
      </c>
      <c r="G16" s="25">
        <v>34</v>
      </c>
      <c r="H16" s="16">
        <f>GETPIVOTDATA("Absent Employees",$E$15,"Team","Collection")/GETPIVOTDATA("Count of Employee Name",$E$15,"Team","Collection")</f>
        <v>0.11764705882352941</v>
      </c>
      <c r="J16" s="12" t="s">
        <v>35</v>
      </c>
      <c r="K16" s="25">
        <v>42</v>
      </c>
    </row>
    <row r="17" spans="1:11" x14ac:dyDescent="0.3">
      <c r="A17" s="12" t="s">
        <v>34</v>
      </c>
      <c r="B17" s="15">
        <v>46250.892857142855</v>
      </c>
      <c r="C17" s="15">
        <v>117.5</v>
      </c>
      <c r="E17" s="12" t="s">
        <v>65</v>
      </c>
      <c r="F17" s="25">
        <v>3</v>
      </c>
      <c r="G17" s="25">
        <v>22</v>
      </c>
      <c r="H17" s="16">
        <f>GETPIVOTDATA("Absent Employees",$E$15,"Team","Retention")/GETPIVOTDATA("Count of Employee Name",$E$15,"Team","Retention")</f>
        <v>0.13636363636363635</v>
      </c>
      <c r="J17" s="12" t="s">
        <v>78</v>
      </c>
      <c r="K17" s="25">
        <v>11</v>
      </c>
    </row>
    <row r="18" spans="1:11" x14ac:dyDescent="0.3">
      <c r="A18" s="12" t="s">
        <v>41</v>
      </c>
      <c r="B18" s="15">
        <v>52561.366666666669</v>
      </c>
      <c r="C18" s="15">
        <v>111.23333333333333</v>
      </c>
      <c r="E18" s="12" t="s">
        <v>44</v>
      </c>
      <c r="F18" s="25">
        <v>4</v>
      </c>
      <c r="G18" s="25">
        <v>22</v>
      </c>
      <c r="H18" s="16">
        <f>GETPIVOTDATA("Absent Employees",$E$15,"Team","Sales")/GETPIVOTDATA("Count of Employee Name",$E$15,"Team","Sales")</f>
        <v>0.18181818181818182</v>
      </c>
      <c r="J18" s="12" t="s">
        <v>51</v>
      </c>
      <c r="K18" s="25">
        <v>19</v>
      </c>
    </row>
    <row r="19" spans="1:11" x14ac:dyDescent="0.3">
      <c r="A19" s="12" t="s">
        <v>73</v>
      </c>
      <c r="B19" s="15">
        <v>50693.722222222219</v>
      </c>
      <c r="C19" s="15">
        <v>112.72222222222223</v>
      </c>
      <c r="E19" s="12" t="s">
        <v>27</v>
      </c>
      <c r="F19" s="25">
        <v>4</v>
      </c>
      <c r="G19" s="25">
        <v>22</v>
      </c>
      <c r="H19" s="16">
        <f>GETPIVOTDATA("Absent Employees",$E$15,"Team","Support")/GETPIVOTDATA("Count of Employee Name",$E$15,"Team","Support")</f>
        <v>0.18181818181818182</v>
      </c>
      <c r="J19" s="12" t="s">
        <v>24</v>
      </c>
      <c r="K19" s="25">
        <v>28</v>
      </c>
    </row>
    <row r="20" spans="1:11" x14ac:dyDescent="0.3">
      <c r="A20" s="12" t="s">
        <v>248</v>
      </c>
      <c r="B20" s="25">
        <v>49798.91</v>
      </c>
      <c r="C20" s="25">
        <v>113.07</v>
      </c>
      <c r="E20" s="12" t="s">
        <v>248</v>
      </c>
      <c r="F20" s="25">
        <v>15</v>
      </c>
      <c r="G20" s="25">
        <v>100</v>
      </c>
      <c r="H20" s="17">
        <f>GETPIVOTDATA("Absent Employees",$E$15)/GETPIVOTDATA("Count of Employee Name",$E$15)</f>
        <v>0.15</v>
      </c>
      <c r="J20" s="12" t="s">
        <v>248</v>
      </c>
      <c r="K20" s="25">
        <v>100</v>
      </c>
    </row>
  </sheetData>
  <sortState xmlns:xlrd2="http://schemas.microsoft.com/office/spreadsheetml/2017/richdata2" columnSort="1" ref="A3:C8">
    <sortCondition descending="1" ref="B3"/>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61476-5BEE-434E-9847-AAB7FB2A2F50}">
  <dimension ref="A1:P35"/>
  <sheetViews>
    <sheetView tabSelected="1" topLeftCell="A21" workbookViewId="0">
      <selection activeCell="J38" sqref="J38"/>
    </sheetView>
  </sheetViews>
  <sheetFormatPr defaultRowHeight="14.4" x14ac:dyDescent="0.3"/>
  <cols>
    <col min="1" max="1" width="23.109375" customWidth="1"/>
    <col min="2" max="2" width="16" customWidth="1"/>
    <col min="3" max="3" width="11.21875" customWidth="1"/>
    <col min="4" max="4" width="11.109375" customWidth="1"/>
    <col min="5" max="5" width="9.77734375" customWidth="1"/>
    <col min="6" max="6" width="15.33203125" customWidth="1"/>
    <col min="7" max="7" width="11.77734375" customWidth="1"/>
    <col min="8" max="8" width="16.5546875" customWidth="1"/>
    <col min="10" max="10" width="12" customWidth="1"/>
    <col min="11" max="11" width="9.33203125" customWidth="1"/>
    <col min="13" max="13" width="12" customWidth="1"/>
    <col min="14" max="14" width="12.33203125" customWidth="1"/>
    <col min="16" max="16" width="12.77734375" customWidth="1"/>
    <col min="20" max="20" width="8.6640625" customWidth="1"/>
  </cols>
  <sheetData>
    <row r="1" spans="1:16" ht="14.4" customHeight="1" x14ac:dyDescent="0.3">
      <c r="A1" s="26" t="s">
        <v>271</v>
      </c>
      <c r="B1" s="27"/>
      <c r="C1" s="27"/>
      <c r="D1" s="27"/>
      <c r="E1" s="27"/>
      <c r="F1" s="27"/>
      <c r="G1" s="27"/>
      <c r="H1" s="27"/>
      <c r="I1" s="27"/>
      <c r="J1" s="27"/>
      <c r="K1" s="27"/>
      <c r="L1" s="27"/>
      <c r="M1" s="27"/>
      <c r="N1" s="27"/>
      <c r="O1" s="27"/>
      <c r="P1" s="27"/>
    </row>
    <row r="2" spans="1:16" ht="14.4" customHeight="1" x14ac:dyDescent="0.3">
      <c r="A2" s="27"/>
      <c r="B2" s="27"/>
      <c r="C2" s="27"/>
      <c r="D2" s="27"/>
      <c r="E2" s="27"/>
      <c r="F2" s="27"/>
      <c r="G2" s="27"/>
      <c r="H2" s="27"/>
      <c r="I2" s="27"/>
      <c r="J2" s="27"/>
      <c r="K2" s="27"/>
      <c r="L2" s="27"/>
      <c r="M2" s="27"/>
      <c r="N2" s="27"/>
      <c r="O2" s="27"/>
      <c r="P2" s="27"/>
    </row>
    <row r="3" spans="1:16" ht="21" customHeight="1" x14ac:dyDescent="0.3">
      <c r="A3" s="27"/>
      <c r="B3" s="27"/>
      <c r="C3" s="27"/>
      <c r="D3" s="27"/>
      <c r="E3" s="27"/>
      <c r="F3" s="27"/>
      <c r="G3" s="27"/>
      <c r="H3" s="27"/>
      <c r="I3" s="27"/>
      <c r="J3" s="27"/>
      <c r="K3" s="27"/>
      <c r="L3" s="27"/>
      <c r="M3" s="27"/>
      <c r="N3" s="27"/>
      <c r="O3" s="27"/>
      <c r="P3" s="27"/>
    </row>
    <row r="4" spans="1:16" ht="21" customHeight="1" x14ac:dyDescent="0.3">
      <c r="A4" s="31"/>
      <c r="B4" s="18" t="s">
        <v>266</v>
      </c>
      <c r="C4" s="18"/>
      <c r="D4" s="28"/>
      <c r="E4" s="19" t="s">
        <v>267</v>
      </c>
      <c r="F4" s="19"/>
      <c r="G4" s="29"/>
      <c r="H4" s="20" t="s">
        <v>268</v>
      </c>
      <c r="I4" s="20"/>
      <c r="J4" s="29"/>
      <c r="K4" s="21" t="s">
        <v>269</v>
      </c>
      <c r="L4" s="21"/>
      <c r="M4" s="29"/>
      <c r="N4" s="22" t="s">
        <v>270</v>
      </c>
      <c r="O4" s="22"/>
      <c r="P4" s="29"/>
    </row>
    <row r="5" spans="1:16" ht="14.4" customHeight="1" x14ac:dyDescent="0.3">
      <c r="A5" s="31"/>
      <c r="B5" s="23">
        <f>COUNTA(Table1[Emp ID])</f>
        <v>100</v>
      </c>
      <c r="C5" s="23"/>
      <c r="D5" s="28"/>
      <c r="E5" s="33">
        <f>SUM(UpdatedData!I2:I101)</f>
        <v>4979891</v>
      </c>
      <c r="F5" s="33"/>
      <c r="G5" s="30"/>
      <c r="H5" s="34">
        <f>SUM(Table1[Collection Amount])</f>
        <v>3390468</v>
      </c>
      <c r="I5" s="34"/>
      <c r="J5" s="30"/>
      <c r="K5" s="35">
        <f>AVERAGE(Table1[Actual Calls])</f>
        <v>113.07</v>
      </c>
      <c r="L5" s="35"/>
      <c r="M5" s="30"/>
      <c r="N5" s="24">
        <f>1-(COUNTIF(UpdatedData!L5:L101,"Absent")/COUNTA(RawData!A2:A101))</f>
        <v>0.85</v>
      </c>
      <c r="O5" s="24"/>
      <c r="P5" s="30"/>
    </row>
    <row r="6" spans="1:16" ht="14.4" customHeight="1" x14ac:dyDescent="0.3">
      <c r="A6" s="31"/>
      <c r="B6" s="23"/>
      <c r="C6" s="23"/>
      <c r="D6" s="28"/>
      <c r="E6" s="33"/>
      <c r="F6" s="33"/>
      <c r="G6" s="32"/>
      <c r="H6" s="34"/>
      <c r="I6" s="34"/>
      <c r="J6" s="30"/>
      <c r="K6" s="35"/>
      <c r="L6" s="35"/>
      <c r="M6" s="30"/>
      <c r="N6" s="24"/>
      <c r="O6" s="24"/>
      <c r="P6" s="30"/>
    </row>
    <row r="7" spans="1:16" ht="14.4" customHeight="1" x14ac:dyDescent="0.3">
      <c r="A7" s="31"/>
      <c r="B7" s="23"/>
      <c r="C7" s="23"/>
      <c r="D7" s="28"/>
      <c r="E7" s="33"/>
      <c r="F7" s="33"/>
      <c r="G7" s="29"/>
      <c r="H7" s="34"/>
      <c r="I7" s="34"/>
      <c r="J7" s="29"/>
      <c r="K7" s="35"/>
      <c r="L7" s="35"/>
      <c r="M7" s="29"/>
      <c r="N7" s="24"/>
      <c r="O7" s="24"/>
      <c r="P7" s="29"/>
    </row>
    <row r="8" spans="1:16" x14ac:dyDescent="0.3">
      <c r="A8" s="31"/>
      <c r="B8" s="28"/>
      <c r="C8" s="28"/>
      <c r="D8" s="28"/>
      <c r="E8" s="28"/>
      <c r="F8" s="28"/>
      <c r="G8" s="28"/>
      <c r="H8" s="28"/>
      <c r="I8" s="28"/>
      <c r="J8" s="28"/>
      <c r="K8" s="28"/>
      <c r="L8" s="28"/>
      <c r="M8" s="28"/>
      <c r="N8" s="28"/>
      <c r="O8" s="28"/>
      <c r="P8" s="28"/>
    </row>
    <row r="9" spans="1:16" x14ac:dyDescent="0.3">
      <c r="A9" s="31"/>
      <c r="B9" s="28"/>
      <c r="C9" s="28"/>
      <c r="D9" s="28"/>
      <c r="E9" s="28"/>
      <c r="F9" s="28"/>
      <c r="G9" s="28"/>
      <c r="H9" s="28"/>
      <c r="I9" s="28"/>
      <c r="J9" s="28"/>
      <c r="K9" s="28"/>
      <c r="L9" s="28"/>
      <c r="M9" s="28"/>
      <c r="N9" s="28"/>
      <c r="O9" s="28"/>
      <c r="P9" s="28"/>
    </row>
    <row r="10" spans="1:16" x14ac:dyDescent="0.3">
      <c r="A10" s="31"/>
      <c r="B10" s="28"/>
      <c r="C10" s="28"/>
      <c r="D10" s="28"/>
      <c r="E10" s="28"/>
      <c r="F10" s="28"/>
      <c r="G10" s="28"/>
      <c r="H10" s="28"/>
      <c r="I10" s="28"/>
      <c r="J10" s="28"/>
      <c r="K10" s="28"/>
      <c r="L10" s="28"/>
      <c r="M10" s="28"/>
      <c r="N10" s="28"/>
      <c r="O10" s="28"/>
      <c r="P10" s="28"/>
    </row>
    <row r="11" spans="1:16" x14ac:dyDescent="0.3">
      <c r="A11" s="31"/>
      <c r="B11" s="28"/>
      <c r="C11" s="28"/>
      <c r="D11" s="28"/>
      <c r="E11" s="28"/>
      <c r="F11" s="28"/>
      <c r="G11" s="28"/>
      <c r="H11" s="28"/>
      <c r="I11" s="28"/>
      <c r="J11" s="28"/>
      <c r="K11" s="28"/>
      <c r="L11" s="28"/>
      <c r="M11" s="28"/>
      <c r="N11" s="28"/>
      <c r="O11" s="28"/>
      <c r="P11" s="28"/>
    </row>
    <row r="12" spans="1:16" x14ac:dyDescent="0.3">
      <c r="A12" s="31"/>
      <c r="B12" s="28"/>
      <c r="C12" s="28"/>
      <c r="D12" s="28"/>
      <c r="E12" s="28"/>
      <c r="F12" s="28"/>
      <c r="G12" s="28"/>
      <c r="H12" s="28"/>
      <c r="I12" s="28"/>
      <c r="J12" s="28"/>
      <c r="K12" s="28"/>
      <c r="L12" s="28"/>
      <c r="M12" s="28"/>
      <c r="N12" s="28"/>
      <c r="O12" s="28"/>
      <c r="P12" s="28"/>
    </row>
    <row r="13" spans="1:16" x14ac:dyDescent="0.3">
      <c r="A13" s="31"/>
      <c r="B13" s="28"/>
      <c r="C13" s="28"/>
      <c r="D13" s="28"/>
      <c r="E13" s="28"/>
      <c r="F13" s="28"/>
      <c r="G13" s="28"/>
      <c r="H13" s="28"/>
      <c r="I13" s="28"/>
      <c r="J13" s="28"/>
      <c r="K13" s="28"/>
      <c r="L13" s="28"/>
      <c r="M13" s="28"/>
      <c r="N13" s="28"/>
      <c r="O13" s="28"/>
      <c r="P13" s="28"/>
    </row>
    <row r="14" spans="1:16" x14ac:dyDescent="0.3">
      <c r="A14" s="31"/>
      <c r="B14" s="28"/>
      <c r="C14" s="28"/>
      <c r="D14" s="28"/>
      <c r="E14" s="28"/>
      <c r="F14" s="28"/>
      <c r="G14" s="28"/>
      <c r="H14" s="28"/>
      <c r="I14" s="28"/>
      <c r="J14" s="28"/>
      <c r="K14" s="28"/>
      <c r="L14" s="28"/>
      <c r="M14" s="28"/>
      <c r="N14" s="28"/>
      <c r="O14" s="28"/>
      <c r="P14" s="28"/>
    </row>
    <row r="15" spans="1:16" x14ac:dyDescent="0.3">
      <c r="A15" s="31"/>
      <c r="B15" s="28"/>
      <c r="C15" s="28"/>
      <c r="D15" s="28"/>
      <c r="E15" s="28"/>
      <c r="F15" s="28"/>
      <c r="G15" s="28"/>
      <c r="H15" s="28"/>
      <c r="I15" s="28"/>
      <c r="J15" s="28"/>
      <c r="K15" s="28"/>
      <c r="L15" s="28"/>
      <c r="M15" s="28"/>
      <c r="N15" s="28"/>
      <c r="O15" s="28"/>
      <c r="P15" s="28"/>
    </row>
    <row r="16" spans="1:16" x14ac:dyDescent="0.3">
      <c r="A16" s="31"/>
      <c r="B16" s="28"/>
      <c r="C16" s="28"/>
      <c r="D16" s="28"/>
      <c r="E16" s="28"/>
      <c r="F16" s="28"/>
      <c r="G16" s="28"/>
      <c r="H16" s="28"/>
      <c r="I16" s="28"/>
      <c r="J16" s="28"/>
      <c r="K16" s="28"/>
      <c r="L16" s="28"/>
      <c r="M16" s="28"/>
      <c r="N16" s="28"/>
      <c r="O16" s="28"/>
      <c r="P16" s="28"/>
    </row>
    <row r="17" spans="1:16" x14ac:dyDescent="0.3">
      <c r="A17" s="31"/>
      <c r="B17" s="28"/>
      <c r="C17" s="28"/>
      <c r="D17" s="28"/>
      <c r="E17" s="28"/>
      <c r="F17" s="28"/>
      <c r="G17" s="28"/>
      <c r="H17" s="28"/>
      <c r="I17" s="28"/>
      <c r="J17" s="28"/>
      <c r="K17" s="28"/>
      <c r="L17" s="28"/>
      <c r="M17" s="28"/>
      <c r="N17" s="28"/>
      <c r="O17" s="28"/>
      <c r="P17" s="28"/>
    </row>
    <row r="18" spans="1:16" x14ac:dyDescent="0.3">
      <c r="A18" s="31"/>
      <c r="B18" s="28"/>
      <c r="C18" s="28"/>
      <c r="D18" s="28"/>
      <c r="E18" s="28"/>
      <c r="F18" s="28"/>
      <c r="G18" s="28"/>
      <c r="H18" s="28"/>
      <c r="I18" s="28"/>
      <c r="J18" s="28"/>
      <c r="K18" s="28"/>
      <c r="L18" s="28"/>
      <c r="M18" s="28"/>
      <c r="N18" s="28"/>
      <c r="O18" s="28"/>
      <c r="P18" s="28"/>
    </row>
    <row r="19" spans="1:16" x14ac:dyDescent="0.3">
      <c r="A19" s="31"/>
      <c r="B19" s="28"/>
      <c r="C19" s="28"/>
      <c r="D19" s="28"/>
      <c r="E19" s="28"/>
      <c r="F19" s="28"/>
      <c r="G19" s="28"/>
      <c r="H19" s="28"/>
      <c r="I19" s="28"/>
      <c r="J19" s="28"/>
      <c r="K19" s="28"/>
      <c r="L19" s="28"/>
      <c r="M19" s="28"/>
      <c r="N19" s="28"/>
      <c r="O19" s="28"/>
      <c r="P19" s="28"/>
    </row>
    <row r="20" spans="1:16" x14ac:dyDescent="0.3">
      <c r="A20" s="31"/>
      <c r="B20" s="28"/>
      <c r="C20" s="28"/>
      <c r="D20" s="28"/>
      <c r="E20" s="28"/>
      <c r="F20" s="28"/>
      <c r="G20" s="28"/>
      <c r="H20" s="28"/>
      <c r="I20" s="28"/>
      <c r="J20" s="28"/>
      <c r="K20" s="28"/>
      <c r="L20" s="28"/>
      <c r="M20" s="28"/>
      <c r="N20" s="28"/>
      <c r="O20" s="28"/>
      <c r="P20" s="28"/>
    </row>
    <row r="21" spans="1:16" x14ac:dyDescent="0.3">
      <c r="A21" s="31"/>
      <c r="B21" s="28"/>
      <c r="C21" s="28"/>
      <c r="D21" s="28"/>
      <c r="E21" s="28"/>
      <c r="F21" s="28"/>
      <c r="G21" s="28"/>
      <c r="H21" s="28"/>
      <c r="I21" s="28"/>
      <c r="J21" s="28"/>
      <c r="K21" s="28"/>
      <c r="L21" s="28"/>
      <c r="M21" s="28"/>
      <c r="N21" s="28"/>
      <c r="O21" s="28"/>
      <c r="P21" s="28"/>
    </row>
    <row r="22" spans="1:16" x14ac:dyDescent="0.3">
      <c r="A22" s="31"/>
      <c r="B22" s="28"/>
      <c r="C22" s="28"/>
      <c r="D22" s="28"/>
      <c r="E22" s="28"/>
      <c r="F22" s="28"/>
      <c r="G22" s="28"/>
      <c r="H22" s="28"/>
      <c r="I22" s="28"/>
      <c r="J22" s="28"/>
      <c r="K22" s="28"/>
      <c r="L22" s="28"/>
      <c r="M22" s="28"/>
      <c r="N22" s="28"/>
      <c r="O22" s="28"/>
      <c r="P22" s="28"/>
    </row>
    <row r="23" spans="1:16" x14ac:dyDescent="0.3">
      <c r="A23" s="31"/>
      <c r="B23" s="28"/>
      <c r="C23" s="28"/>
      <c r="D23" s="28"/>
      <c r="E23" s="28"/>
      <c r="F23" s="28"/>
      <c r="G23" s="28"/>
      <c r="H23" s="28"/>
      <c r="I23" s="28"/>
      <c r="J23" s="28"/>
      <c r="K23" s="28"/>
      <c r="L23" s="28"/>
      <c r="M23" s="28"/>
      <c r="N23" s="28"/>
      <c r="O23" s="28"/>
      <c r="P23" s="28"/>
    </row>
    <row r="24" spans="1:16" x14ac:dyDescent="0.3">
      <c r="A24" s="31"/>
      <c r="B24" s="28"/>
      <c r="C24" s="28"/>
      <c r="D24" s="28"/>
      <c r="E24" s="28"/>
      <c r="F24" s="28"/>
      <c r="G24" s="28"/>
      <c r="H24" s="28"/>
      <c r="I24" s="28"/>
      <c r="J24" s="28"/>
      <c r="K24" s="28"/>
      <c r="L24" s="28"/>
      <c r="M24" s="28"/>
      <c r="N24" s="28"/>
      <c r="O24" s="28"/>
      <c r="P24" s="28"/>
    </row>
    <row r="25" spans="1:16" x14ac:dyDescent="0.3">
      <c r="A25" s="31"/>
      <c r="B25" s="28"/>
      <c r="C25" s="28"/>
      <c r="D25" s="28"/>
      <c r="E25" s="28"/>
      <c r="F25" s="28"/>
      <c r="G25" s="28"/>
      <c r="H25" s="28"/>
      <c r="I25" s="28"/>
      <c r="J25" s="28"/>
      <c r="K25" s="28"/>
      <c r="L25" s="28"/>
      <c r="M25" s="28"/>
      <c r="N25" s="28"/>
      <c r="O25" s="28"/>
      <c r="P25" s="28"/>
    </row>
    <row r="26" spans="1:16" x14ac:dyDescent="0.3">
      <c r="A26" s="31"/>
      <c r="B26" s="28"/>
      <c r="C26" s="28"/>
      <c r="D26" s="28"/>
      <c r="E26" s="28"/>
      <c r="F26" s="28"/>
      <c r="G26" s="28"/>
      <c r="H26" s="28"/>
      <c r="I26" s="28"/>
      <c r="J26" s="28"/>
      <c r="K26" s="28"/>
      <c r="L26" s="28"/>
      <c r="M26" s="28"/>
      <c r="N26" s="28"/>
      <c r="O26" s="28"/>
      <c r="P26" s="28"/>
    </row>
    <row r="27" spans="1:16" x14ac:dyDescent="0.3">
      <c r="A27" s="31"/>
      <c r="B27" s="28"/>
      <c r="C27" s="28"/>
      <c r="D27" s="28"/>
      <c r="E27" s="28"/>
      <c r="F27" s="28"/>
      <c r="G27" s="28"/>
      <c r="H27" s="28"/>
      <c r="I27" s="28"/>
      <c r="J27" s="28"/>
      <c r="K27" s="28"/>
      <c r="L27" s="28"/>
      <c r="M27" s="28"/>
      <c r="N27" s="28"/>
      <c r="O27" s="28"/>
      <c r="P27" s="28"/>
    </row>
    <row r="28" spans="1:16" x14ac:dyDescent="0.3">
      <c r="A28" s="31"/>
      <c r="B28" s="28"/>
      <c r="C28" s="28"/>
      <c r="D28" s="28"/>
      <c r="E28" s="28"/>
      <c r="F28" s="28"/>
      <c r="G28" s="28"/>
      <c r="H28" s="28"/>
      <c r="I28" s="28"/>
      <c r="J28" s="28"/>
      <c r="K28" s="28"/>
      <c r="L28" s="28"/>
      <c r="M28" s="28"/>
      <c r="N28" s="28"/>
      <c r="O28" s="28"/>
      <c r="P28" s="28"/>
    </row>
    <row r="29" spans="1:16" x14ac:dyDescent="0.3">
      <c r="A29" s="31"/>
      <c r="B29" s="28"/>
      <c r="C29" s="28"/>
      <c r="D29" s="28"/>
      <c r="E29" s="28"/>
      <c r="F29" s="28"/>
      <c r="G29" s="28"/>
      <c r="H29" s="28"/>
      <c r="I29" s="28"/>
      <c r="J29" s="28"/>
      <c r="K29" s="28"/>
      <c r="L29" s="28"/>
      <c r="M29" s="28"/>
      <c r="N29" s="28"/>
      <c r="O29" s="28"/>
      <c r="P29" s="28"/>
    </row>
    <row r="30" spans="1:16" x14ac:dyDescent="0.3">
      <c r="A30" s="28"/>
      <c r="B30" s="28"/>
      <c r="C30" s="28"/>
      <c r="D30" s="28"/>
      <c r="E30" s="28"/>
      <c r="F30" s="28"/>
      <c r="G30" s="28"/>
      <c r="H30" s="28"/>
      <c r="I30" s="28"/>
      <c r="J30" s="28"/>
      <c r="K30" s="28"/>
      <c r="L30" s="28"/>
      <c r="M30" s="28"/>
      <c r="N30" s="28"/>
      <c r="O30" s="28"/>
      <c r="P30" s="28"/>
    </row>
    <row r="31" spans="1:16" x14ac:dyDescent="0.3">
      <c r="A31" s="28"/>
      <c r="B31" s="28"/>
      <c r="C31" s="28"/>
      <c r="D31" s="28"/>
      <c r="E31" s="28"/>
      <c r="F31" s="28"/>
      <c r="G31" s="28"/>
      <c r="H31" s="28"/>
      <c r="I31" s="28"/>
      <c r="J31" s="28"/>
      <c r="K31" s="28"/>
      <c r="L31" s="28"/>
      <c r="M31" s="28"/>
      <c r="N31" s="28"/>
      <c r="O31" s="28"/>
      <c r="P31" s="28"/>
    </row>
    <row r="32" spans="1:16" x14ac:dyDescent="0.3">
      <c r="A32" s="28"/>
      <c r="B32" s="28"/>
      <c r="C32" s="28"/>
      <c r="D32" s="28"/>
      <c r="E32" s="28"/>
      <c r="F32" s="28"/>
      <c r="G32" s="28"/>
      <c r="H32" s="28"/>
      <c r="I32" s="28"/>
      <c r="J32" s="28"/>
      <c r="K32" s="28"/>
      <c r="L32" s="28"/>
      <c r="M32" s="28"/>
      <c r="N32" s="28"/>
      <c r="O32" s="28"/>
      <c r="P32" s="28"/>
    </row>
    <row r="33" spans="1:16" x14ac:dyDescent="0.3">
      <c r="A33" s="28"/>
      <c r="B33" s="28"/>
      <c r="C33" s="28"/>
      <c r="D33" s="28"/>
      <c r="E33" s="28"/>
      <c r="F33" s="28"/>
      <c r="G33" s="28"/>
      <c r="H33" s="28"/>
      <c r="I33" s="28"/>
      <c r="J33" s="28"/>
      <c r="K33" s="28"/>
      <c r="L33" s="28"/>
      <c r="M33" s="28"/>
      <c r="N33" s="28"/>
      <c r="O33" s="28"/>
      <c r="P33" s="28"/>
    </row>
    <row r="34" spans="1:16" x14ac:dyDescent="0.3">
      <c r="A34" s="28"/>
      <c r="B34" s="28"/>
      <c r="C34" s="28"/>
      <c r="D34" s="28"/>
      <c r="E34" s="28"/>
      <c r="F34" s="28"/>
      <c r="G34" s="28"/>
      <c r="H34" s="28"/>
      <c r="I34" s="28"/>
      <c r="J34" s="28"/>
      <c r="K34" s="28"/>
      <c r="L34" s="36"/>
      <c r="M34" s="28"/>
      <c r="N34" s="37" t="s">
        <v>272</v>
      </c>
      <c r="O34" s="37"/>
      <c r="P34" s="37"/>
    </row>
    <row r="35" spans="1:16" x14ac:dyDescent="0.3">
      <c r="A35" s="28"/>
      <c r="B35" s="28"/>
      <c r="C35" s="28"/>
      <c r="D35" s="28"/>
      <c r="E35" s="28"/>
      <c r="F35" s="28"/>
      <c r="G35" s="28"/>
      <c r="H35" s="28"/>
      <c r="I35" s="28"/>
      <c r="J35" s="28"/>
      <c r="K35" s="28"/>
      <c r="L35" s="28"/>
      <c r="M35" s="28"/>
      <c r="N35" s="37"/>
      <c r="O35" s="37"/>
      <c r="P35" s="37"/>
    </row>
  </sheetData>
  <mergeCells count="29">
    <mergeCell ref="N34:P35"/>
    <mergeCell ref="A34:A35"/>
    <mergeCell ref="B34:B35"/>
    <mergeCell ref="C34:C35"/>
    <mergeCell ref="D34:D35"/>
    <mergeCell ref="E34:E35"/>
    <mergeCell ref="F34:F35"/>
    <mergeCell ref="G34:G35"/>
    <mergeCell ref="H34:H35"/>
    <mergeCell ref="I34:I35"/>
    <mergeCell ref="J34:J35"/>
    <mergeCell ref="K34:K35"/>
    <mergeCell ref="L34:L35"/>
    <mergeCell ref="M34:M35"/>
    <mergeCell ref="N5:O7"/>
    <mergeCell ref="A30:A33"/>
    <mergeCell ref="B8:P33"/>
    <mergeCell ref="D4:D7"/>
    <mergeCell ref="A1:P3"/>
    <mergeCell ref="A4:A29"/>
    <mergeCell ref="B4:C4"/>
    <mergeCell ref="E4:F4"/>
    <mergeCell ref="H4:I4"/>
    <mergeCell ref="K4:L4"/>
    <mergeCell ref="N4:O4"/>
    <mergeCell ref="B5:C7"/>
    <mergeCell ref="E5:F7"/>
    <mergeCell ref="H5:I7"/>
    <mergeCell ref="K5:L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RawData</vt:lpstr>
      <vt:lpstr>UpdatedData</vt:lpstr>
      <vt:lpstr>Pivot reports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Rishabh Raj</cp:lastModifiedBy>
  <dcterms:created xsi:type="dcterms:W3CDTF">2026-05-28T09:42:28Z</dcterms:created>
  <dcterms:modified xsi:type="dcterms:W3CDTF">2026-05-29T07:54:45Z</dcterms:modified>
</cp:coreProperties>
</file>